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ighj\Documents\D2P\2025 D2P\D2P 2026\Workshop materials\Unit 2\"/>
    </mc:Choice>
  </mc:AlternateContent>
  <bookViews>
    <workbookView xWindow="0" yWindow="0" windowWidth="9280" windowHeight="7530" firstSheet="2" activeTab="5"/>
  </bookViews>
  <sheets>
    <sheet name="Narrative" sheetId="7" r:id="rId1"/>
    <sheet name="Parameters_Ex2A" sheetId="1" r:id="rId2"/>
    <sheet name="DT_instructions_Ex2B" sheetId="9" r:id="rId3"/>
    <sheet name="DT_template_Ex2B_C" sheetId="8" r:id="rId4"/>
    <sheet name="Results_Ex2D" sheetId="3" r:id="rId5"/>
    <sheet name="CEA_Summary_Ex2D" sheetId="4" r:id="rId6"/>
  </sheets>
  <externalReferences>
    <externalReference r:id="rId7"/>
  </externalReferences>
  <definedNames>
    <definedName name="c_fix">Parameters_Ex2A!$E$17</definedName>
    <definedName name="c_post_coun_n">Parameters_Ex2A!$E$22</definedName>
    <definedName name="c_post_coun_p">Parameters_Ex2A!$E$20</definedName>
    <definedName name="c_precoun">Parameters_Ex2A!$E$18</definedName>
    <definedName name="c_treat">Parameters_Ex2A!$E$21</definedName>
    <definedName name="c_var_screen">Parameters_Ex2A!$E$19</definedName>
    <definedName name="costInt">[1]HIV_Parameters!$C$11</definedName>
    <definedName name="costTest">[1]HIV_Parameters!$C$10</definedName>
    <definedName name="d_inf_untx">Parameters_Ex2A!$E$10</definedName>
    <definedName name="d_tx_e">Parameters_Ex2A!$E$11</definedName>
    <definedName name="d_tx_l">Parameters_Ex2A!$E$12</definedName>
    <definedName name="d_uninf">Parameters_Ex2A!$E$9</definedName>
    <definedName name="life_exp">Parameters_Ex2A!$E$16</definedName>
    <definedName name="n_pop">Parameters_Ex2A!$E$3</definedName>
    <definedName name="p_attend">Parameters_Ex2A!$E$4</definedName>
    <definedName name="p_early">Parameters_Ex2A!$E$8</definedName>
    <definedName name="p_prev">Parameters_Ex2A!$E$5</definedName>
    <definedName name="p_screen_inf">Parameters_Ex2A!$E$6</definedName>
    <definedName name="p_screen_uninf">Parameters_Ex2A!$E$7</definedName>
    <definedName name="p_treat_all">Parameters_Ex2A!$E$15</definedName>
    <definedName name="pHIV">[1]HIV_Parameters!$C$6</definedName>
    <definedName name="pHIVTknInt">[1]HIV_Parameters!$C$8</definedName>
    <definedName name="pHIVTunkn">[1]HIV_Parameters!$C$7</definedName>
    <definedName name="pInt">[1]HIV_Parameters!$C$9</definedName>
    <definedName name="sens">Parameters_Ex2A!$E$13</definedName>
    <definedName name="spec">Parameters_Ex2A!$E$14</definedName>
  </definedNames>
  <calcPr calcId="162913"/>
</workbook>
</file>

<file path=xl/calcChain.xml><?xml version="1.0" encoding="utf-8"?>
<calcChain xmlns="http://schemas.openxmlformats.org/spreadsheetml/2006/main">
  <c r="E5" i="3" l="1"/>
  <c r="E4" i="3"/>
  <c r="E3" i="3"/>
  <c r="C5" i="3"/>
  <c r="C4" i="3"/>
  <c r="C3" i="3"/>
  <c r="B5" i="3"/>
  <c r="B4" i="3"/>
  <c r="B3" i="3"/>
  <c r="F54" i="8"/>
  <c r="S33" i="8" s="1"/>
  <c r="F25" i="8"/>
  <c r="W131" i="8"/>
  <c r="U131" i="8"/>
  <c r="S131" i="8"/>
  <c r="W82" i="8"/>
  <c r="S82" i="8"/>
  <c r="S128" i="8"/>
  <c r="S125" i="8"/>
  <c r="S117" i="8"/>
  <c r="S111" i="8"/>
  <c r="S109" i="8"/>
  <c r="S105" i="8"/>
  <c r="S98" i="8"/>
  <c r="S93" i="8"/>
  <c r="S90" i="8"/>
  <c r="S86" i="8"/>
  <c r="S79" i="8"/>
  <c r="S73" i="8"/>
  <c r="S70" i="8"/>
  <c r="S66" i="8"/>
  <c r="S59" i="8"/>
  <c r="S56" i="8"/>
  <c r="S53" i="8"/>
  <c r="S49" i="8"/>
  <c r="S46" i="8"/>
  <c r="S44" i="8"/>
  <c r="S40" i="8"/>
  <c r="U82" i="8" s="1"/>
  <c r="S31" i="8"/>
  <c r="S27" i="8"/>
  <c r="S24" i="8"/>
  <c r="S20" i="8"/>
  <c r="S18" i="8"/>
  <c r="S15" i="8"/>
  <c r="U62" i="8" s="1"/>
  <c r="S12" i="8"/>
  <c r="S8" i="8"/>
  <c r="S5" i="8"/>
  <c r="S2" i="8"/>
  <c r="W62" i="8" l="1"/>
  <c r="S62" i="8"/>
  <c r="D3" i="3" l="1"/>
  <c r="B3" i="4"/>
  <c r="B5" i="4"/>
  <c r="C5" i="4"/>
  <c r="B4" i="4"/>
  <c r="C3" i="4" l="1"/>
  <c r="D4" i="4"/>
  <c r="D5" i="3"/>
  <c r="D5" i="4"/>
  <c r="D4" i="3"/>
  <c r="C4" i="4"/>
  <c r="E5" i="4" l="1"/>
  <c r="F5" i="4" s="1"/>
  <c r="E4" i="4"/>
  <c r="F4" i="4" s="1"/>
</calcChain>
</file>

<file path=xl/sharedStrings.xml><?xml version="1.0" encoding="utf-8"?>
<sst xmlns="http://schemas.openxmlformats.org/spreadsheetml/2006/main" count="301" uniqueCount="283">
  <si>
    <t>PARAMETER TABLE</t>
  </si>
  <si>
    <t>Description</t>
  </si>
  <si>
    <t>Names</t>
  </si>
  <si>
    <t>Names by convention</t>
  </si>
  <si>
    <t>Names by convention (easier to understand)</t>
  </si>
  <si>
    <t>Base-value</t>
  </si>
  <si>
    <t>Lower-bound</t>
  </si>
  <si>
    <t>Upperbound</t>
  </si>
  <si>
    <t>Source</t>
  </si>
  <si>
    <t>Population attending antenatal clinics in one year</t>
  </si>
  <si>
    <t>Pop</t>
  </si>
  <si>
    <t>n_pop</t>
  </si>
  <si>
    <t>Annual clinic data</t>
  </si>
  <si>
    <t>ANC attendance probability</t>
  </si>
  <si>
    <t>Attend</t>
  </si>
  <si>
    <t>p_attend</t>
  </si>
  <si>
    <t>TZ DHS 2016; Kuznik 2013; local data; Kearns 2014; Magoma 2010; Terris-Prestholt 2015</t>
  </si>
  <si>
    <t>Overall prevalence of infection in pregnant women</t>
  </si>
  <si>
    <t>Prev</t>
  </si>
  <si>
    <t>Mabey 2012; Sweeney 2014; Gomez 2013; Nnko 2015; local data</t>
  </si>
  <si>
    <t>Probability of screening uptake if infected</t>
  </si>
  <si>
    <t>ScreenGP</t>
  </si>
  <si>
    <t>TZ DHS 2016; Mabey 2012; local data; TSPA 2015</t>
  </si>
  <si>
    <t>Probability of screening uptake if uninfected</t>
  </si>
  <si>
    <t>ScreenGN</t>
  </si>
  <si>
    <t>TZ DHS 2016; Mabey 2012; local data</t>
  </si>
  <si>
    <t>Probability of presenting early to ANC (1st/2nd trimester)</t>
  </si>
  <si>
    <t>PresentE</t>
  </si>
  <si>
    <t>Cha 2016; DHS 2015–2016; TZ 2015</t>
  </si>
  <si>
    <t>Perinatal mortality in uninfected women</t>
  </si>
  <si>
    <t>DeathU</t>
  </si>
  <si>
    <t>Cha 2017; Kuznik 2013</t>
  </si>
  <si>
    <t>Perinatal mortality in infected untreated women</t>
  </si>
  <si>
    <t>DeathIWOT</t>
  </si>
  <si>
    <t>d_iwot</t>
  </si>
  <si>
    <t>d_inf_untx</t>
  </si>
  <si>
    <t>Cha 2017; Kuznik 2013; Genc 2000; CDC 2017; De Santis 2012; Gomez 2013</t>
  </si>
  <si>
    <t>Perinatal mortality in infected treated women presenting early</t>
  </si>
  <si>
    <t>DeathITE</t>
  </si>
  <si>
    <t>d_ite</t>
  </si>
  <si>
    <t>d_tx_e</t>
  </si>
  <si>
    <t>Kuznik 2013; Temmerman 2000; Watson-Jones 2002; Kanyangarar 2018</t>
  </si>
  <si>
    <t>Perinatal mortality in infected treated women presenting late</t>
  </si>
  <si>
    <t>DeathITL</t>
  </si>
  <si>
    <t>Kuznik 2013; Temmerman 2000; Watson-Jones 2002</t>
  </si>
  <si>
    <t>Qualitative RPR sensitivity</t>
  </si>
  <si>
    <t>Sen</t>
  </si>
  <si>
    <t>sens</t>
  </si>
  <si>
    <t>Rogozinska 2016; Casas 2018; Tucker 2010</t>
  </si>
  <si>
    <t>Qualitative RPR specificity</t>
  </si>
  <si>
    <t>Spec</t>
  </si>
  <si>
    <t>spec</t>
  </si>
  <si>
    <t>Rogozinska 2016; Casas 2018; Tucker 2011</t>
  </si>
  <si>
    <t>Probability of treatment in Treat All strategy</t>
  </si>
  <si>
    <t>TreatAll</t>
  </si>
  <si>
    <t>Terris-Prestholt 2015</t>
  </si>
  <si>
    <t>Life expectancy for YLL calculation</t>
  </si>
  <si>
    <t>LifeExp</t>
  </si>
  <si>
    <t>Fixed programme cost per woman</t>
  </si>
  <si>
    <t>cFix</t>
  </si>
  <si>
    <t>Pre-counselling cost per woman</t>
  </si>
  <si>
    <t>cPreCoun</t>
  </si>
  <si>
    <t>Variable screening cost per woman screened</t>
  </si>
  <si>
    <t>cVarScreen</t>
  </si>
  <si>
    <t>Post-counselling cost per positive result</t>
  </si>
  <si>
    <t>cPostCounP</t>
  </si>
  <si>
    <t>Treatment cost per woman treated</t>
  </si>
  <si>
    <t>cTreat</t>
  </si>
  <si>
    <t>Sweeney 2014; Nnko 2016</t>
  </si>
  <si>
    <t>Post-counselling cost per negative result</t>
  </si>
  <si>
    <t>cPostCounN</t>
  </si>
  <si>
    <t>Strategy</t>
  </si>
  <si>
    <t>Expected deaths</t>
  </si>
  <si>
    <t>Expected cost</t>
  </si>
  <si>
    <t>No Intervention</t>
  </si>
  <si>
    <t>Test and Treat</t>
  </si>
  <si>
    <t>Treat All</t>
  </si>
  <si>
    <t>Total probability</t>
  </si>
  <si>
    <t>Notes</t>
  </si>
  <si>
    <t>RESULTS TABLE</t>
  </si>
  <si>
    <t>Expected YLLs</t>
  </si>
  <si>
    <t>Check against Amua</t>
  </si>
  <si>
    <t>Target cost 0.00; target deaths 0.1090</t>
  </si>
  <si>
    <t>Target cost 2.61; target deaths 0.0971</t>
  </si>
  <si>
    <t>Target cost 3.58; target deaths 0.0934</t>
  </si>
  <si>
    <t>CEA SUMMARY</t>
  </si>
  <si>
    <t>Cost</t>
  </si>
  <si>
    <t>Count</t>
  </si>
  <si>
    <t>Incremental Cost</t>
  </si>
  <si>
    <t>Deaths Averted</t>
  </si>
  <si>
    <t>ICER</t>
  </si>
  <si>
    <t>-</t>
  </si>
  <si>
    <t>Baseline</t>
  </si>
  <si>
    <t>Compared with No Intervention</t>
  </si>
  <si>
    <t>Compared with Test and Treat</t>
  </si>
  <si>
    <t>Pathway Probs</t>
  </si>
  <si>
    <t>Costs</t>
  </si>
  <si>
    <t>Case</t>
  </si>
  <si>
    <t>Expected values with no intervention</t>
  </si>
  <si>
    <t>Expected values with treat all</t>
  </si>
  <si>
    <t>Syphilis Decision Tree</t>
  </si>
  <si>
    <t>Syphilis +</t>
  </si>
  <si>
    <t>Syphilis -</t>
  </si>
  <si>
    <t>Expected values with test &amp; treat</t>
  </si>
  <si>
    <t>Test &amp; Treat</t>
  </si>
  <si>
    <t>Exercise 2A: Parameter Table &amp; Naming Convention</t>
  </si>
  <si>
    <t>Objective</t>
  </si>
  <si>
    <t>To understand the parameter table structure, apply a consistent naming convention, and create named parameters in Excel.</t>
  </si>
  <si>
    <t>Step 1: Understand the Parameter Table</t>
  </si>
  <si>
    <t>Each column serves a specific purpose:</t>
  </si>
  <si>
    <t>Step 2: Apply Naming Convention Rules</t>
  </si>
  <si>
    <t>We will now assign names to the parameter values.</t>
  </si>
  <si>
    <t>Steps:</t>
  </si>
  <si>
    <t>1. Highlight:</t>
  </si>
  <si>
    <t>2. Go to:</t>
  </si>
  <si>
    <t>Formulas → Create from Selection</t>
  </si>
  <si>
    <t>3. Select:</t>
  </si>
  <si>
    <t>Left column</t>
  </si>
  <si>
    <t>4. Click:</t>
  </si>
  <si>
    <t>OK</t>
  </si>
  <si>
    <t>Click on any value in Column E.</t>
  </si>
  <si>
    <t>Why this matters</t>
  </si>
  <si>
    <t>You will now use names instead of cell references.</t>
  </si>
  <si>
    <t>Example:</t>
  </si>
  <si>
    <t>Checkpoint</t>
  </si>
  <si>
    <t>Next Step</t>
  </si>
  <si>
    <t>• Description: Plain-language explanation of the parameter</t>
  </si>
  <si>
    <t>• Names: Original name (from slides/Amua)</t>
  </si>
  <si>
    <t xml:space="preserve">• Names by convention (easier to understand): Clean, readable names for use in formulas i.e. is there a way you could name this to best suit your understandng of the parameter, so it is easier to recall. This may be different for everyone- lets give it a go. </t>
  </si>
  <si>
    <t>• Base-value: Value used in the model</t>
  </si>
  <si>
    <t>• Lower-bound / Upperbound: Used later for sensitivity analysis</t>
  </si>
  <si>
    <t>• Source: Data source or reference</t>
  </si>
  <si>
    <r>
      <t xml:space="preserve">Complete any missing entries in the </t>
    </r>
    <r>
      <rPr>
        <b/>
        <sz val="11"/>
        <rFont val="Carlito"/>
      </rPr>
      <t>“</t>
    </r>
    <r>
      <rPr>
        <i/>
        <sz val="11"/>
        <color theme="4"/>
        <rFont val="Carlito"/>
      </rPr>
      <t>Names by convention (easier to understand)</t>
    </r>
    <r>
      <rPr>
        <b/>
        <sz val="11"/>
        <rFont val="Carlito"/>
      </rPr>
      <t>”</t>
    </r>
    <r>
      <rPr>
        <sz val="11"/>
        <rFont val="Carlito"/>
      </rPr>
      <t xml:space="preserve"> column using these rules:</t>
    </r>
  </si>
  <si>
    <t>Prefix</t>
  </si>
  <si>
    <t>Meaning</t>
  </si>
  <si>
    <t>Example</t>
  </si>
  <si>
    <t>p_</t>
  </si>
  <si>
    <t>Probability (tree parameters)</t>
  </si>
  <si>
    <t>p_prev, p_attend</t>
  </si>
  <si>
    <t>c_</t>
  </si>
  <si>
    <t>Cost parameters</t>
  </si>
  <si>
    <t>c_treat, c_screen</t>
  </si>
  <si>
    <t>d_</t>
  </si>
  <si>
    <t>Death outcomes</t>
  </si>
  <si>
    <t>d_uninf, d_inf_untx</t>
  </si>
  <si>
    <t>n_</t>
  </si>
  <si>
    <t>Numbers / population counts</t>
  </si>
  <si>
    <t>rr_</t>
  </si>
  <si>
    <t>Relative risks / risk ratios</t>
  </si>
  <si>
    <t>rr_treatment</t>
  </si>
  <si>
    <t>le_</t>
  </si>
  <si>
    <t>Life expectancy / life years</t>
  </si>
  <si>
    <t>le_birth</t>
  </si>
  <si>
    <t>u_</t>
  </si>
  <si>
    <t>Utility weights (QALYs)</t>
  </si>
  <si>
    <t>u_health</t>
  </si>
  <si>
    <t>dw_</t>
  </si>
  <si>
    <t>Disability weights (DALYs)</t>
  </si>
  <si>
    <t>dw_tb</t>
  </si>
  <si>
    <t>Sensitivity (test performance)</t>
  </si>
  <si>
    <t>Specificity (test performance)</t>
  </si>
  <si>
    <t>Why use naming conventions?</t>
  </si>
  <si>
    <t>is much easier to interpret than:</t>
  </si>
  <si>
    <t>They make your model:</t>
  </si>
  <si>
    <t>You should be able to understand a formula just by reading it.</t>
  </si>
  <si>
    <r>
      <t xml:space="preserve">The </t>
    </r>
    <r>
      <rPr>
        <b/>
        <sz val="11"/>
        <rFont val="Carlito"/>
      </rPr>
      <t>Name Box</t>
    </r>
    <r>
      <rPr>
        <sz val="11"/>
        <rFont val="Carlito"/>
      </rPr>
      <t xml:space="preserve"> (top-left in Excel) should display:</t>
    </r>
  </si>
  <si>
    <t>This improves:</t>
  </si>
  <si>
    <t>• easier to read and interpret</t>
  </si>
  <si>
    <t>• easier to debug and check</t>
  </si>
  <si>
    <t>• easier to extend to other policy topics</t>
  </si>
  <si>
    <t>• p_prev * d_inf_untx</t>
  </si>
  <si>
    <t>• C5 * C8</t>
  </si>
  <si>
    <r>
      <t>• Column D</t>
    </r>
    <r>
      <rPr>
        <sz val="11"/>
        <rFont val="Carlito"/>
      </rPr>
      <t xml:space="preserve">: </t>
    </r>
    <r>
      <rPr>
        <i/>
        <sz val="11"/>
        <rFont val="Carlito"/>
      </rPr>
      <t>Names by convention (easier to understand)</t>
    </r>
  </si>
  <si>
    <r>
      <t>• Column E</t>
    </r>
    <r>
      <rPr>
        <sz val="11"/>
        <rFont val="Carlito"/>
      </rPr>
      <t xml:space="preserve">: </t>
    </r>
    <r>
      <rPr>
        <i/>
        <sz val="11"/>
        <rFont val="Carlito"/>
      </rPr>
      <t>Base-value</t>
    </r>
  </si>
  <si>
    <t>• p_prev</t>
  </si>
  <si>
    <t>• p_attend</t>
  </si>
  <si>
    <t xml:space="preserve">• d_inf_untx etc. </t>
  </si>
  <si>
    <t>• readability</t>
  </si>
  <si>
    <t>• accuracy</t>
  </si>
  <si>
    <t>• interpretation</t>
  </si>
  <si>
    <t>You will use these parameters to Build pathway probabilities in the decision tree</t>
  </si>
  <si>
    <t xml:space="preserve">       All naming fields completed correctly</t>
  </si>
  <si>
    <t xml:space="preserve">       Naming convention applied consistently</t>
  </si>
  <si>
    <t xml:space="preserve">       Named parameters created in Excel</t>
  </si>
  <si>
    <t xml:space="preserve">       Names visible in Name Box</t>
  </si>
  <si>
    <t>• Names by convention: Technical naming using standard rules (see table below)</t>
  </si>
  <si>
    <t>Programme data</t>
  </si>
  <si>
    <t>Background</t>
  </si>
  <si>
    <t>Imagine that you have been asked to advise national decision-makers on the cost-effectiveness of improving syphilis management in antenatal care in rural Tanzania.
Syphilis in pregnancy is a major contributor to adverse outcomes, including stillbirths, neonatal deaths, and early infant morbidity. National policy recommends routine screening of all pregnant women. However, implementation is incomplete—approximately 50% of rural facilities do not currently offer screening or treatment services.
As a result, decision-makers are considering alternative strategies to improve pregnancy outcomes in clinics where no testing is currently available. To inform this decision, you will undertake a decision-analytic economic evaluation comparing three policy options:
• No intervention (status quo)
• Screen and treat
• Treat all without screening
You conduct a review of the available literature and programme data, and compile the following inputs for your model.</t>
  </si>
  <si>
    <t>The data</t>
  </si>
  <si>
    <t>From published studies, programme reports, and routine data sources, you identify the following information:</t>
  </si>
  <si>
    <r>
      <rPr>
        <b/>
        <sz val="10"/>
        <rFont val="Carlito"/>
      </rPr>
      <t>Population and epidemiology</t>
    </r>
    <r>
      <rPr>
        <sz val="10"/>
        <rFont val="Carlito"/>
      </rPr>
      <t xml:space="preserve">
• The annual number of women attending antenatal clinics is estimated at 1,000 (routine clinic data).
• The probability that a pregnant woman attends antenatal care is 0.88 (TZ DHS 2016; Kuznik 2013; Magoma 2010; Terris-Prestholt 2015).
• The prevalence of syphilis infection among pregnant women is 10.9% (Mabey 2012; Sweeney 2014; Gomez 2013; Nnko 2015; local data).</t>
    </r>
  </si>
  <si>
    <r>
      <rPr>
        <b/>
        <sz val="10"/>
        <rFont val="Carlito"/>
      </rPr>
      <t>Screening and care-seeking behaviour</t>
    </r>
    <r>
      <rPr>
        <sz val="10"/>
        <rFont val="Carlito"/>
      </rPr>
      <t xml:space="preserve">
• Among infected women attending care, the probability of being screened is 0.90 (TZ DHS 2016; Mabey 2012; TSPA 2015).
• Among uninfected women, the probability of being screened is also assumed to be 0.90 (TZ DHS 2016; Mabey 2012).
• The probability that women present early in pregnancy (1st or 2nd trimester) is 0.667 (Cha 2016; DHS 2015–2016; TZ 2015).</t>
    </r>
  </si>
  <si>
    <r>
      <rPr>
        <b/>
        <sz val="10"/>
        <rFont val="Carlito"/>
      </rPr>
      <t>Test performance</t>
    </r>
    <r>
      <rPr>
        <sz val="10"/>
        <rFont val="Carlito"/>
      </rPr>
      <t xml:space="preserve">
• The sensitivity of the rapid plasma reagin (RPR) test is 0.85 (Rogozinska 2016; Casas 2018; Tucker 2010).
• The specificity of the test is 0.97 (Rogozinska 2016; Casas 2018; Tucker 2011).</t>
    </r>
  </si>
  <si>
    <r>
      <rPr>
        <b/>
        <sz val="10"/>
        <rFont val="Carlito"/>
      </rPr>
      <t>Health outcomes</t>
    </r>
    <r>
      <rPr>
        <sz val="10"/>
        <rFont val="Carlito"/>
      </rPr>
      <t xml:space="preserve">
• Among uninfected women, the probability of perinatal death is 0.076 (Cha 2017; Kuznik 2013).
• Among infected women who are not treated, the probability of perinatal death is 0.379 (Cha 2017; Kuznik 2013; Gomez 2013).
• Among infected women who are treated, the probability of perinatal death is 0.216, regardless of timing of treatment (Kuznik 2013; Temmerman 2000; Watson-Jones 2002).</t>
    </r>
  </si>
  <si>
    <r>
      <rPr>
        <b/>
        <sz val="10"/>
        <rFont val="Carlito"/>
      </rPr>
      <t>Costs</t>
    </r>
    <r>
      <rPr>
        <sz val="10"/>
        <rFont val="Carlito"/>
      </rPr>
      <t xml:space="preserve">
From programme data and published estimates, you identify the following costs (per woman):
• Fixed programme cost: 0.84
• Pre-counselling: 0.05
• Screening test: 1.64
• Post-counselling (positive): 1.13
• Post-counselling (negative): 0.19
• Treatment: 1.93
Where cost data were not directly available in the literature, estimates were derived from programme budgets and expert input.</t>
    </r>
  </si>
  <si>
    <r>
      <rPr>
        <b/>
        <sz val="10"/>
        <rFont val="Carlito"/>
      </rPr>
      <t>Assumptions</t>
    </r>
    <r>
      <rPr>
        <sz val="10"/>
        <rFont val="Carlito"/>
      </rPr>
      <t xml:space="preserve">
• In the “treat all” strategy, all women attending care receive treatment.
• All women who test positive are assumed to receive treatment.
• Outcomes are measured over a one-year analytic horizon, consistent with programme implementation and expected timing of outcomes.
• Life expectancy at birth is assumed to be 55 years for the purpose of calculating years of life lost.</t>
    </r>
  </si>
  <si>
    <t>Step 4: Create Named Parameters in Excel</t>
  </si>
  <si>
    <t>Step 5: Check Naming Worked</t>
  </si>
  <si>
    <t>Step 3: Populate Base Values from the Narrativeinto the parameter table</t>
  </si>
  <si>
    <t>• Navigate to the &lt;Narrative&gt; tab
• Carefully read the scenario and data provided
• Complete the missing values in Column E (Base-value) using the narrative in the Parameter table above: 
•The following parameters have been left in to guide you: 
Prevalence (p_prev) | Screening uptake if infected (p_screen_inf) | Treat all probability (p_treat_all)| Life expectancy (life_exp) | Variable screening cost (c_var_screen) |All outcome parameters (d_...) 
•Complete all remaining parameters using the data provided.</t>
  </si>
  <si>
    <r>
      <t>Important formatting rule:</t>
    </r>
    <r>
      <rPr>
        <sz val="10"/>
        <rFont val="Carlito"/>
      </rPr>
      <t xml:space="preserve"> All probabilities must be entered as decimals, not percentages. 
Examples:
• 10% → 0.10
• 88% → 0.88 etc.
Ensure all values in Column E follow this format.</t>
    </r>
  </si>
  <si>
    <t xml:space="preserve">      Narrative reviewed</t>
  </si>
  <si>
    <t xml:space="preserve">      All applicable Base-values completed</t>
  </si>
  <si>
    <t xml:space="preserve">      Values entered as decimals (not percentages)</t>
  </si>
  <si>
    <t xml:space="preserve">       No missing values</t>
  </si>
  <si>
    <t>Exercise 2B: Building and Parameterising the Decision Tree (&lt;DT_template&gt; Sheet)</t>
  </si>
  <si>
    <t>To construct the decision tree for the syphilis case study, assign probabilities and outcomes to each pathway, and prepare for calculating expected values.</t>
  </si>
  <si>
    <t>Step 1: Navigate to the DT sheet</t>
  </si>
  <si>
    <t>The connector lines are anchored to the shapes, so if you move a shape, the line will move with it.</t>
  </si>
  <si>
    <t>Step 2: Review the structure provided</t>
  </si>
  <si>
    <t>From the decision node, three policy options are already drawn:</t>
  </si>
  <si>
    <t>The sheet is spaced to allow you to build each option clearly.</t>
  </si>
  <si>
    <t>Step 3: Use the example to guide you</t>
  </si>
  <si>
    <t>In the Test &amp; Treat option, note the first split:</t>
  </si>
  <si>
    <t>Use the structure discussed in class to complete the remaining branches for all three options.</t>
  </si>
  <si>
    <t>Step 4: Parameterise the tree</t>
  </si>
  <si>
    <t>Use parameter names rather than cell references.</t>
  </si>
  <si>
    <t>Instead of:</t>
  </si>
  <si>
    <t>Use:</t>
  </si>
  <si>
    <t>This makes formulas easier to read and reduces errors.</t>
  </si>
  <si>
    <t>Step 5: Complete branch probabilities</t>
  </si>
  <si>
    <t>For each branch, assign the correct parameter.</t>
  </si>
  <si>
    <t>Examples include:</t>
  </si>
  <si>
    <t>Each branch should have a clearly defined probability.</t>
  </si>
  <si>
    <t>Step 6: Define terminal outcomes</t>
  </si>
  <si>
    <t>This must be done for every pathway across all options.</t>
  </si>
  <si>
    <t>Step 7: Calculate pathway probabilities (Column S)</t>
  </si>
  <si>
    <t>Each row represents one complete pathway.</t>
  </si>
  <si>
    <t>For each pathway, calculate the probability by multiplying all probabilities along that branch.</t>
  </si>
  <si>
    <t>Examples:</t>
  </si>
  <si>
    <t>Each row in Column S should contain one full pathway probability.</t>
  </si>
  <si>
    <t>Do not add probabilities within this column.</t>
  </si>
  <si>
    <t>Step 8: Understand what each terminal row represents</t>
  </si>
  <si>
    <t>Each terminal row captures:</t>
  </si>
  <si>
    <t>Step 9: Calculate expected outcomes for each option</t>
  </si>
  <si>
    <t>This multiplies each pathway probability by its outcome (1 or 0) and sums across all pathways.</t>
  </si>
  <si>
    <t>What comes next</t>
  </si>
  <si>
    <t>Next, you will:</t>
  </si>
  <si>
    <t>Time allocation</t>
  </si>
  <si>
    <t>A correct decision tree structure is essential.</t>
  </si>
  <si>
    <t>If the pathways are incorrect, the results will be incorrect.</t>
  </si>
  <si>
    <r>
      <t xml:space="preserve">Go to the </t>
    </r>
    <r>
      <rPr>
        <b/>
        <sz val="10"/>
        <rFont val="Carlito"/>
      </rPr>
      <t>DT</t>
    </r>
    <r>
      <rPr>
        <sz val="10"/>
        <rFont val="Carlito"/>
      </rPr>
      <t xml:space="preserve"> tab.</t>
    </r>
  </si>
  <si>
    <r>
      <t xml:space="preserve">You will see a set of shapes in </t>
    </r>
    <r>
      <rPr>
        <b/>
        <sz val="10"/>
        <rFont val="Carlito"/>
      </rPr>
      <t>A1:D12</t>
    </r>
    <r>
      <rPr>
        <sz val="10"/>
        <rFont val="Carlito"/>
      </rPr>
      <t>:</t>
    </r>
  </si>
  <si>
    <r>
      <t xml:space="preserve">We have completed the initial branches in the </t>
    </r>
    <r>
      <rPr>
        <b/>
        <sz val="10"/>
        <rFont val="Carlito"/>
      </rPr>
      <t>Test &amp; Treat</t>
    </r>
    <r>
      <rPr>
        <sz val="10"/>
        <rFont val="Carlito"/>
      </rPr>
      <t xml:space="preserve"> option as an example.</t>
    </r>
  </si>
  <si>
    <r>
      <t xml:space="preserve">Once the structure is complete, replicate the grey probability cells and populate them using parameters from the </t>
    </r>
    <r>
      <rPr>
        <b/>
        <sz val="10"/>
        <rFont val="Carlito"/>
      </rPr>
      <t>Parameters</t>
    </r>
    <r>
      <rPr>
        <sz val="10"/>
        <rFont val="Carlito"/>
      </rPr>
      <t xml:space="preserve"> sheet.</t>
    </r>
  </si>
  <si>
    <r>
      <t xml:space="preserve">Every pathway must end in a </t>
    </r>
    <r>
      <rPr>
        <b/>
        <sz val="10"/>
        <rFont val="Carlito"/>
      </rPr>
      <t>terminal node</t>
    </r>
    <r>
      <rPr>
        <sz val="10"/>
        <rFont val="Carlito"/>
      </rPr>
      <t>.</t>
    </r>
  </si>
  <si>
    <r>
      <t xml:space="preserve">At each terminal node, record the outcome in </t>
    </r>
    <r>
      <rPr>
        <b/>
        <sz val="10"/>
        <rFont val="Carlito"/>
      </rPr>
      <t>Column W</t>
    </r>
    <r>
      <rPr>
        <sz val="10"/>
        <rFont val="Carlito"/>
      </rPr>
      <t>:</t>
    </r>
  </si>
  <si>
    <t>"=E4"</t>
  </si>
  <si>
    <t>"=p_attend"</t>
  </si>
  <si>
    <r>
      <t xml:space="preserve">Infection prevalence → </t>
    </r>
    <r>
      <rPr>
        <sz val="10"/>
        <rFont val="Arial Unicode MS"/>
      </rPr>
      <t>p_prev | ANC attendance → p_attend | Screening probability → p_screen_inf / p_screen_uninf | Test sensitivity → sens | Early presentation → p_early</t>
    </r>
  </si>
  <si>
    <r>
      <t>1</t>
    </r>
    <r>
      <rPr>
        <sz val="10"/>
        <rFont val="Carlito"/>
      </rPr>
      <t xml:space="preserve"> = perinatal death | </t>
    </r>
    <r>
      <rPr>
        <b/>
        <sz val="10"/>
        <rFont val="Carlito"/>
      </rPr>
      <t>0</t>
    </r>
    <r>
      <rPr>
        <sz val="10"/>
        <rFont val="Carlito"/>
      </rPr>
      <t xml:space="preserve"> = survival</t>
    </r>
  </si>
  <si>
    <r>
      <t xml:space="preserve">This gives the </t>
    </r>
    <r>
      <rPr>
        <b/>
        <sz val="10"/>
        <rFont val="Carlito"/>
      </rPr>
      <t>expected probability of death</t>
    </r>
    <r>
      <rPr>
        <sz val="10"/>
        <rFont val="Carlito"/>
      </rPr>
      <t xml:space="preserve"> for that option.</t>
    </r>
  </si>
  <si>
    <t>Key takeaway</t>
  </si>
  <si>
    <t xml:space="preserve">     All branches completed for each option</t>
  </si>
  <si>
    <t xml:space="preserve">     Parameter names used correctly</t>
  </si>
  <si>
    <t xml:space="preserve">     All terminal nodes assigned an outcome (1 or 0)</t>
  </si>
  <si>
    <t xml:space="preserve">     Each pathway represents a complete and logical sequence</t>
  </si>
  <si>
    <t xml:space="preserve">     Pathway probabilities calculated in Column S (sum of probabilities in S62 should = 1)</t>
  </si>
  <si>
    <t>• Square = decision node</t>
  </si>
  <si>
    <t>• Circle = chance node</t>
  </si>
  <si>
    <t>• Triangle = terminal node</t>
  </si>
  <si>
    <r>
      <t>• Test &amp; Treat</t>
    </r>
    <r>
      <rPr>
        <sz val="10"/>
        <rFont val="Carlito"/>
      </rPr>
      <t xml:space="preserve"> (Row 29)</t>
    </r>
  </si>
  <si>
    <r>
      <t>• No Intervention</t>
    </r>
    <r>
      <rPr>
        <sz val="10"/>
        <rFont val="Carlito"/>
      </rPr>
      <t xml:space="preserve"> (Row 70)</t>
    </r>
  </si>
  <si>
    <r>
      <t>• Treat All</t>
    </r>
    <r>
      <rPr>
        <sz val="10"/>
        <rFont val="Carlito"/>
      </rPr>
      <t xml:space="preserve"> (Row 107)</t>
    </r>
  </si>
  <si>
    <r>
      <t>• Narrow columns</t>
    </r>
    <r>
      <rPr>
        <sz val="10"/>
        <rFont val="Carlito"/>
      </rPr>
      <t xml:space="preserve"> are for chance and terminal nodes</t>
    </r>
  </si>
  <si>
    <r>
      <t>• Wider columns</t>
    </r>
    <r>
      <rPr>
        <sz val="10"/>
        <rFont val="Carlito"/>
      </rPr>
      <t xml:space="preserve"> are for pathway text (e.g. </t>
    </r>
    <r>
      <rPr>
        <i/>
        <sz val="10"/>
        <rFont val="Carlito"/>
      </rPr>
      <t>Syphilis +</t>
    </r>
    <r>
      <rPr>
        <sz val="10"/>
        <rFont val="Carlito"/>
      </rPr>
      <t xml:space="preserve">, </t>
    </r>
    <r>
      <rPr>
        <i/>
        <sz val="10"/>
        <rFont val="Carlito"/>
      </rPr>
      <t>Syphilis -</t>
    </r>
    <r>
      <rPr>
        <sz val="10"/>
        <rFont val="Carlito"/>
      </rPr>
      <t>)</t>
    </r>
  </si>
  <si>
    <r>
      <t xml:space="preserve">• Syphilis + in </t>
    </r>
    <r>
      <rPr>
        <b/>
        <sz val="10"/>
        <rFont val="Carlito"/>
      </rPr>
      <t>F23</t>
    </r>
    <r>
      <rPr>
        <sz val="10"/>
        <rFont val="Carlito"/>
      </rPr>
      <t xml:space="preserve"> with probability in </t>
    </r>
    <r>
      <rPr>
        <b/>
        <sz val="10"/>
        <rFont val="Carlito"/>
      </rPr>
      <t>F25</t>
    </r>
  </si>
  <si>
    <r>
      <t xml:space="preserve">• Syphilis - in </t>
    </r>
    <r>
      <rPr>
        <b/>
        <sz val="10"/>
        <rFont val="Carlito"/>
      </rPr>
      <t>F52</t>
    </r>
    <r>
      <rPr>
        <sz val="10"/>
        <rFont val="Carlito"/>
      </rPr>
      <t xml:space="preserve"> with probability in </t>
    </r>
    <r>
      <rPr>
        <b/>
        <sz val="10"/>
        <rFont val="Carlito"/>
      </rPr>
      <t>F54</t>
    </r>
  </si>
  <si>
    <t>"=p_prev*p_attend*p_screen_inf*sens*(1-p_early)"</t>
  </si>
  <si>
    <t>"=(1-p_prev)*p_attend*(1-p_screen_uninf)"</t>
  </si>
  <si>
    <t>•Test &amp; Treat (infected, attend, screened, true positive, treated late):</t>
  </si>
  <si>
    <t>•Test &amp; Treat (uninfected, attend, not screened):</t>
  </si>
  <si>
    <t>Think of each row as one complete “journey” through the system: what happens to the patient, how likely it is, and what the outcome is.</t>
  </si>
  <si>
    <t>"=SUMPRODUCT(probabilities, outcomes)"</t>
  </si>
  <si>
    <t>At the bottom of each option (ie W62, W82, W131), expected outcomes are calculated using:</t>
  </si>
  <si>
    <t>If you are modelling a cohort of 1,000 women, you could multiply this result by 1,000 to estimate the expected number of deaths for each policy option</t>
  </si>
  <si>
    <r>
      <t xml:space="preserve">• the </t>
    </r>
    <r>
      <rPr>
        <b/>
        <sz val="10"/>
        <rFont val="Carlito"/>
      </rPr>
      <t>probability of reaching that pathway</t>
    </r>
    <r>
      <rPr>
        <sz val="10"/>
        <rFont val="Carlito"/>
      </rPr>
      <t xml:space="preserve"> (Column S)</t>
    </r>
  </si>
  <si>
    <r>
      <t xml:space="preserve">• the </t>
    </r>
    <r>
      <rPr>
        <b/>
        <sz val="10"/>
        <rFont val="Carlito"/>
      </rPr>
      <t>outcome of that pathway</t>
    </r>
    <r>
      <rPr>
        <sz val="10"/>
        <rFont val="Carlito"/>
      </rPr>
      <t xml:space="preserve"> (Column W)</t>
    </r>
  </si>
  <si>
    <t>• calculate expected costs</t>
  </si>
  <si>
    <t>• assign costs to each pathway</t>
  </si>
  <si>
    <t>• compare options using cost-effectiveness analysis</t>
  </si>
  <si>
    <t xml:space="preserve">Set asidea few hours for this task. Get as far as you can, but you may take until Friday to complete this. This will need to be submitted on Friday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</si>
</sst>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\£0.00"/>
  </numFmts>
  <fonts count="1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Carlito"/>
    </font>
    <font>
      <sz val="9"/>
      <color theme="0"/>
      <name val="Calibri"/>
      <family val="2"/>
      <scheme val="minor"/>
    </font>
    <font>
      <sz val="10"/>
      <name val="Carlito"/>
    </font>
    <font>
      <b/>
      <sz val="10"/>
      <color rgb="FFFFFFFF"/>
      <name val="Carlito"/>
    </font>
    <font>
      <sz val="10"/>
      <name val="Arial Unicode MS"/>
    </font>
    <font>
      <i/>
      <sz val="11"/>
      <name val="Carlito"/>
    </font>
    <font>
      <b/>
      <sz val="10"/>
      <name val="Carlito"/>
    </font>
    <font>
      <b/>
      <u/>
      <sz val="10"/>
      <name val="Carlito"/>
    </font>
    <font>
      <i/>
      <sz val="11"/>
      <color theme="4"/>
      <name val="Carlito"/>
    </font>
    <font>
      <b/>
      <sz val="10"/>
      <color theme="4"/>
      <name val="Carlito"/>
    </font>
    <font>
      <sz val="8"/>
      <name val="Segoe UI"/>
      <family val="2"/>
    </font>
    <font>
      <i/>
      <sz val="10"/>
      <name val="Carlito"/>
    </font>
    <font>
      <b/>
      <sz val="10"/>
      <color rgb="FF0F766E"/>
      <name val="Carlito"/>
    </font>
    <font>
      <b/>
      <sz val="10"/>
      <color theme="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68D6E"/>
        <bgColor indexed="64"/>
      </patternFill>
    </fill>
    <fill>
      <patternFill patternType="solid">
        <fgColor rgb="FFE4EBE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168D6E"/>
      </left>
      <right/>
      <top style="thick">
        <color rgb="FF168D6E"/>
      </top>
      <bottom style="thick">
        <color rgb="FF168D6E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rgb="FF168D6E"/>
      </top>
      <bottom style="thick">
        <color rgb="FF168D6E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rgb="FF168D6E"/>
      </top>
      <bottom style="thick">
        <color rgb="FF168D6E"/>
      </bottom>
      <diagonal/>
    </border>
    <border>
      <left style="thin">
        <color theme="0" tint="-0.14996795556505021"/>
      </left>
      <right style="thick">
        <color rgb="FF168D6E"/>
      </right>
      <top style="thick">
        <color rgb="FF168D6E"/>
      </top>
      <bottom style="thick">
        <color rgb="FF168D6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ck">
        <color rgb="FF168D6E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65" fontId="0" fillId="0" borderId="2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5" fontId="0" fillId="0" borderId="7" xfId="0" applyNumberFormat="1" applyFont="1" applyFill="1" applyBorder="1" applyAlignment="1">
      <alignment wrapText="1"/>
    </xf>
    <xf numFmtId="166" fontId="0" fillId="0" borderId="2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166" fontId="0" fillId="0" borderId="7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9" xfId="0" applyFont="1" applyFill="1" applyBorder="1"/>
    <xf numFmtId="0" fontId="6" fillId="0" borderId="8" xfId="0" applyFont="1" applyFill="1" applyBorder="1"/>
    <xf numFmtId="10" fontId="5" fillId="4" borderId="10" xfId="1" applyNumberFormat="1" applyFont="1" applyFill="1" applyBorder="1"/>
    <xf numFmtId="9" fontId="5" fillId="0" borderId="0" xfId="1" applyFont="1"/>
    <xf numFmtId="0" fontId="6" fillId="3" borderId="11" xfId="0" applyFont="1" applyFill="1" applyBorder="1"/>
    <xf numFmtId="0" fontId="5" fillId="0" borderId="11" xfId="0" applyFont="1" applyBorder="1"/>
    <xf numFmtId="10" fontId="5" fillId="4" borderId="12" xfId="1" applyNumberFormat="1" applyFont="1" applyFill="1" applyBorder="1"/>
    <xf numFmtId="0" fontId="7" fillId="0" borderId="0" xfId="0" applyFont="1"/>
    <xf numFmtId="10" fontId="7" fillId="4" borderId="10" xfId="1" applyNumberFormat="1" applyFont="1" applyFill="1" applyBorder="1"/>
    <xf numFmtId="0" fontId="5" fillId="5" borderId="0" xfId="0" applyFont="1" applyFill="1"/>
    <xf numFmtId="0" fontId="5" fillId="0" borderId="0" xfId="0" applyFont="1" applyFill="1"/>
    <xf numFmtId="164" fontId="6" fillId="0" borderId="8" xfId="0" applyNumberFormat="1" applyFont="1" applyFill="1" applyBorder="1"/>
    <xf numFmtId="164" fontId="5" fillId="0" borderId="0" xfId="0" applyNumberFormat="1" applyFont="1"/>
    <xf numFmtId="0" fontId="5" fillId="4" borderId="10" xfId="1" applyNumberFormat="1" applyFont="1" applyFill="1" applyBorder="1"/>
    <xf numFmtId="0" fontId="6" fillId="0" borderId="8" xfId="0" applyNumberFormat="1" applyFont="1" applyFill="1" applyBorder="1"/>
    <xf numFmtId="0" fontId="5" fillId="0" borderId="0" xfId="0" applyNumberFormat="1" applyFont="1"/>
    <xf numFmtId="0" fontId="5" fillId="4" borderId="10" xfId="0" applyNumberFormat="1" applyFont="1" applyFill="1" applyBorder="1"/>
    <xf numFmtId="0" fontId="5" fillId="4" borderId="12" xfId="0" applyNumberFormat="1" applyFont="1" applyFill="1" applyBorder="1"/>
    <xf numFmtId="165" fontId="5" fillId="4" borderId="13" xfId="0" applyNumberFormat="1" applyFont="1" applyFill="1" applyBorder="1"/>
    <xf numFmtId="0" fontId="8" fillId="2" borderId="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wrapText="1"/>
    </xf>
    <xf numFmtId="0" fontId="7" fillId="0" borderId="2" xfId="0" applyNumberFormat="1" applyFont="1" applyFill="1" applyBorder="1" applyAlignment="1">
      <alignment wrapText="1"/>
    </xf>
    <xf numFmtId="0" fontId="7" fillId="0" borderId="3" xfId="0" applyNumberFormat="1" applyFont="1" applyFill="1" applyBorder="1" applyAlignment="1">
      <alignment wrapText="1"/>
    </xf>
    <xf numFmtId="0" fontId="7" fillId="4" borderId="10" xfId="1" applyNumberFormat="1" applyFont="1" applyFill="1" applyBorder="1"/>
    <xf numFmtId="0" fontId="7" fillId="0" borderId="4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wrapText="1"/>
    </xf>
    <xf numFmtId="0" fontId="7" fillId="0" borderId="5" xfId="0" applyNumberFormat="1" applyFont="1" applyFill="1" applyBorder="1" applyAlignment="1">
      <alignment wrapText="1"/>
    </xf>
    <xf numFmtId="10" fontId="5" fillId="0" borderId="10" xfId="1" applyNumberFormat="1" applyFont="1" applyFill="1" applyBorder="1"/>
    <xf numFmtId="0" fontId="5" fillId="0" borderId="10" xfId="1" applyNumberFormat="1" applyFont="1" applyFill="1" applyBorder="1"/>
    <xf numFmtId="0" fontId="5" fillId="0" borderId="0" xfId="0" applyNumberFormat="1" applyFont="1" applyFill="1"/>
    <xf numFmtId="164" fontId="5" fillId="0" borderId="0" xfId="0" applyNumberFormat="1" applyFont="1" applyFill="1"/>
    <xf numFmtId="0" fontId="5" fillId="0" borderId="10" xfId="0" applyNumberFormat="1" applyFont="1" applyFill="1" applyBorder="1"/>
    <xf numFmtId="0" fontId="7" fillId="6" borderId="4" xfId="0" applyNumberFormat="1" applyFont="1" applyFill="1" applyBorder="1" applyAlignment="1">
      <alignment wrapText="1"/>
    </xf>
    <xf numFmtId="0" fontId="12" fillId="6" borderId="4" xfId="0" applyNumberFormat="1" applyFont="1" applyFill="1" applyBorder="1" applyAlignment="1">
      <alignment wrapText="1"/>
    </xf>
    <xf numFmtId="0" fontId="7" fillId="0" borderId="8" xfId="0" applyNumberFormat="1" applyFont="1" applyFill="1" applyBorder="1" applyAlignment="1">
      <alignment wrapText="1"/>
    </xf>
    <xf numFmtId="0" fontId="11" fillId="0" borderId="0" xfId="0" applyFont="1"/>
    <xf numFmtId="0" fontId="7" fillId="0" borderId="0" xfId="0" applyFont="1" applyAlignment="1">
      <alignment horizontal="left" indent="2"/>
    </xf>
    <xf numFmtId="0" fontId="7" fillId="6" borderId="4" xfId="0" applyNumberFormat="1" applyFont="1" applyFill="1" applyBorder="1" applyAlignment="1">
      <alignment horizontal="left" wrapText="1" indent="2"/>
    </xf>
    <xf numFmtId="10" fontId="7" fillId="4" borderId="23" xfId="1" applyNumberFormat="1" applyFont="1" applyFill="1" applyBorder="1"/>
    <xf numFmtId="10" fontId="7" fillId="4" borderId="24" xfId="1" applyNumberFormat="1" applyFont="1" applyFill="1" applyBorder="1"/>
    <xf numFmtId="10" fontId="7" fillId="4" borderId="25" xfId="1" applyNumberFormat="1" applyFont="1" applyFill="1" applyBorder="1"/>
    <xf numFmtId="10" fontId="7" fillId="4" borderId="22" xfId="1" applyNumberFormat="1" applyFont="1" applyFill="1" applyBorder="1"/>
    <xf numFmtId="0" fontId="8" fillId="2" borderId="26" xfId="0" applyNumberFormat="1" applyFont="1" applyFill="1" applyBorder="1" applyAlignment="1">
      <alignment horizontal="center" vertical="center" wrapText="1"/>
    </xf>
    <xf numFmtId="0" fontId="8" fillId="2" borderId="27" xfId="0" applyNumberFormat="1" applyFont="1" applyFill="1" applyBorder="1" applyAlignment="1">
      <alignment horizontal="center" vertical="center" wrapText="1"/>
    </xf>
    <xf numFmtId="0" fontId="8" fillId="2" borderId="28" xfId="0" applyNumberFormat="1" applyFont="1" applyFill="1" applyBorder="1" applyAlignment="1">
      <alignment horizontal="center" vertical="center" wrapText="1"/>
    </xf>
    <xf numFmtId="10" fontId="7" fillId="4" borderId="29" xfId="1" applyNumberFormat="1" applyFont="1" applyFill="1" applyBorder="1"/>
    <xf numFmtId="10" fontId="7" fillId="4" borderId="30" xfId="1" applyNumberFormat="1" applyFont="1" applyFill="1" applyBorder="1"/>
    <xf numFmtId="10" fontId="7" fillId="4" borderId="31" xfId="1" applyNumberFormat="1" applyFont="1" applyFill="1" applyBorder="1"/>
    <xf numFmtId="10" fontId="7" fillId="4" borderId="32" xfId="1" applyNumberFormat="1" applyFont="1" applyFill="1" applyBorder="1"/>
    <xf numFmtId="10" fontId="7" fillId="4" borderId="33" xfId="1" applyNumberFormat="1" applyFont="1" applyFill="1" applyBorder="1"/>
    <xf numFmtId="10" fontId="11" fillId="4" borderId="10" xfId="1" applyNumberFormat="1" applyFont="1" applyFill="1" applyBorder="1"/>
    <xf numFmtId="10" fontId="7" fillId="4" borderId="10" xfId="1" applyNumberFormat="1" applyFont="1" applyFill="1" applyBorder="1" applyAlignment="1">
      <alignment horizontal="left" indent="2"/>
    </xf>
    <xf numFmtId="0" fontId="7" fillId="6" borderId="0" xfId="0" applyFont="1" applyFill="1" applyAlignment="1">
      <alignment wrapText="1"/>
    </xf>
    <xf numFmtId="0" fontId="0" fillId="0" borderId="0" xfId="0"/>
    <xf numFmtId="0" fontId="7" fillId="0" borderId="0" xfId="0" applyFont="1"/>
    <xf numFmtId="0" fontId="7" fillId="6" borderId="0" xfId="0" applyFont="1" applyFill="1"/>
    <xf numFmtId="10" fontId="7" fillId="4" borderId="37" xfId="1" applyNumberFormat="1" applyFont="1" applyFill="1" applyBorder="1" applyAlignment="1">
      <alignment wrapText="1"/>
    </xf>
    <xf numFmtId="10" fontId="7" fillId="4" borderId="38" xfId="1" applyNumberFormat="1" applyFont="1" applyFill="1" applyBorder="1" applyAlignment="1">
      <alignment wrapText="1"/>
    </xf>
    <xf numFmtId="10" fontId="7" fillId="4" borderId="23" xfId="1" applyNumberFormat="1" applyFont="1" applyFill="1" applyBorder="1" applyAlignment="1">
      <alignment wrapText="1"/>
    </xf>
    <xf numFmtId="0" fontId="7" fillId="6" borderId="0" xfId="0" applyFont="1" applyFill="1"/>
    <xf numFmtId="10" fontId="7" fillId="4" borderId="8" xfId="1" applyNumberFormat="1" applyFont="1" applyFill="1" applyBorder="1"/>
    <xf numFmtId="10" fontId="7" fillId="6" borderId="10" xfId="1" applyNumberFormat="1" applyFont="1" applyFill="1" applyBorder="1"/>
    <xf numFmtId="10" fontId="7" fillId="6" borderId="10" xfId="1" applyNumberFormat="1" applyFont="1" applyFill="1" applyBorder="1" applyAlignment="1">
      <alignment horizontal="left" indent="2"/>
    </xf>
    <xf numFmtId="10" fontId="12" fillId="4" borderId="10" xfId="1" applyNumberFormat="1" applyFont="1" applyFill="1" applyBorder="1"/>
    <xf numFmtId="10" fontId="12" fillId="6" borderId="10" xfId="1" applyNumberFormat="1" applyFont="1" applyFill="1" applyBorder="1"/>
    <xf numFmtId="0" fontId="14" fillId="7" borderId="0" xfId="0" applyNumberFormat="1" applyFont="1" applyFill="1" applyBorder="1" applyAlignment="1">
      <alignment horizontal="center" vertical="center" wrapText="1"/>
    </xf>
    <xf numFmtId="0" fontId="11" fillId="6" borderId="39" xfId="0" applyNumberFormat="1" applyFont="1" applyFill="1" applyBorder="1" applyAlignment="1">
      <alignment wrapText="1"/>
    </xf>
    <xf numFmtId="10" fontId="12" fillId="4" borderId="24" xfId="1" applyNumberFormat="1" applyFont="1" applyFill="1" applyBorder="1"/>
    <xf numFmtId="10" fontId="7" fillId="4" borderId="34" xfId="1" applyNumberFormat="1" applyFont="1" applyFill="1" applyBorder="1"/>
    <xf numFmtId="10" fontId="7" fillId="4" borderId="35" xfId="1" applyNumberFormat="1" applyFont="1" applyFill="1" applyBorder="1"/>
    <xf numFmtId="10" fontId="12" fillId="4" borderId="35" xfId="1" applyNumberFormat="1" applyFont="1" applyFill="1" applyBorder="1"/>
    <xf numFmtId="10" fontId="7" fillId="4" borderId="36" xfId="1" applyNumberFormat="1" applyFont="1" applyFill="1" applyBorder="1"/>
    <xf numFmtId="0" fontId="5" fillId="5" borderId="14" xfId="0" applyFont="1" applyFill="1" applyBorder="1"/>
    <xf numFmtId="0" fontId="5" fillId="5" borderId="15" xfId="0" applyFont="1" applyFill="1" applyBorder="1"/>
    <xf numFmtId="0" fontId="5" fillId="5" borderId="16" xfId="0" applyFont="1" applyFill="1" applyBorder="1"/>
    <xf numFmtId="0" fontId="5" fillId="5" borderId="17" xfId="0" applyFont="1" applyFill="1" applyBorder="1"/>
    <xf numFmtId="0" fontId="5" fillId="5" borderId="8" xfId="0" applyFont="1" applyFill="1" applyBorder="1"/>
    <xf numFmtId="0" fontId="5" fillId="5" borderId="18" xfId="0" applyFont="1" applyFill="1" applyBorder="1"/>
    <xf numFmtId="0" fontId="5" fillId="5" borderId="19" xfId="0" applyFont="1" applyFill="1" applyBorder="1"/>
    <xf numFmtId="0" fontId="5" fillId="5" borderId="20" xfId="0" applyFont="1" applyFill="1" applyBorder="1"/>
    <xf numFmtId="0" fontId="5" fillId="5" borderId="21" xfId="0" applyFont="1" applyFill="1" applyBorder="1"/>
    <xf numFmtId="0" fontId="6" fillId="3" borderId="4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5" borderId="0" xfId="0" applyFont="1" applyFill="1"/>
    <xf numFmtId="0" fontId="11" fillId="5" borderId="0" xfId="0" applyFont="1" applyFill="1" applyAlignment="1">
      <alignment horizontal="left" vertical="center" indent="1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 indent="1"/>
    </xf>
    <xf numFmtId="0" fontId="17" fillId="7" borderId="0" xfId="0" applyNumberFormat="1" applyFont="1" applyFill="1" applyBorder="1" applyAlignment="1">
      <alignment horizontal="center" vertical="center" wrapText="1"/>
    </xf>
    <xf numFmtId="0" fontId="17" fillId="7" borderId="0" xfId="0" applyNumberFormat="1" applyFont="1" applyFill="1" applyBorder="1" applyAlignment="1">
      <alignment horizontal="center" vertical="center"/>
    </xf>
    <xf numFmtId="0" fontId="8" fillId="2" borderId="39" xfId="0" applyNumberFormat="1" applyFont="1" applyFill="1" applyBorder="1" applyAlignment="1">
      <alignment horizontal="center" vertical="center" wrapText="1"/>
    </xf>
    <xf numFmtId="0" fontId="8" fillId="2" borderId="41" xfId="0" applyNumberFormat="1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left" vertical="center" indent="1"/>
    </xf>
    <xf numFmtId="0" fontId="18" fillId="0" borderId="39" xfId="0" applyNumberFormat="1" applyFont="1" applyFill="1" applyBorder="1" applyAlignment="1">
      <alignment horizontal="center" vertical="center" wrapText="1"/>
    </xf>
    <xf numFmtId="0" fontId="18" fillId="0" borderId="41" xfId="0" applyNumberFormat="1" applyFont="1" applyFill="1" applyBorder="1" applyAlignment="1">
      <alignment horizontal="center" vertical="center" wrapText="1"/>
    </xf>
    <xf numFmtId="0" fontId="11" fillId="5" borderId="0" xfId="0" applyFont="1" applyFill="1"/>
    <xf numFmtId="10" fontId="7" fillId="4" borderId="39" xfId="1" applyNumberFormat="1" applyFont="1" applyFill="1" applyBorder="1"/>
    <xf numFmtId="10" fontId="7" fillId="4" borderId="4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F7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209550</xdr:colOff>
          <xdr:row>106</xdr:row>
          <xdr:rowOff>2117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209550</xdr:colOff>
          <xdr:row>106</xdr:row>
          <xdr:rowOff>2116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209550</xdr:colOff>
          <xdr:row>106</xdr:row>
          <xdr:rowOff>2117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209550</xdr:colOff>
          <xdr:row>106</xdr:row>
          <xdr:rowOff>2117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1487648</xdr:colOff>
      <xdr:row>72</xdr:row>
      <xdr:rowOff>42334</xdr:rowOff>
    </xdr:from>
    <xdr:to>
      <xdr:col>2</xdr:col>
      <xdr:colOff>769055</xdr:colOff>
      <xdr:row>80</xdr:row>
      <xdr:rowOff>144480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7037" y="13814778"/>
          <a:ext cx="1045296" cy="144975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1404055</xdr:colOff>
      <xdr:row>79</xdr:row>
      <xdr:rowOff>35278</xdr:rowOff>
    </xdr:from>
    <xdr:to>
      <xdr:col>2</xdr:col>
      <xdr:colOff>754944</xdr:colOff>
      <xdr:row>80</xdr:row>
      <xdr:rowOff>134055</xdr:rowOff>
    </xdr:to>
    <xdr:sp macro="" textlink="">
      <xdr:nvSpPr>
        <xdr:cNvPr id="3" name="Rectangle 2"/>
        <xdr:cNvSpPr/>
      </xdr:nvSpPr>
      <xdr:spPr>
        <a:xfrm>
          <a:off x="3993444" y="14993056"/>
          <a:ext cx="1114778" cy="26105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1594556</xdr:colOff>
      <xdr:row>77</xdr:row>
      <xdr:rowOff>21167</xdr:rowOff>
    </xdr:from>
    <xdr:to>
      <xdr:col>1</xdr:col>
      <xdr:colOff>1404055</xdr:colOff>
      <xdr:row>80</xdr:row>
      <xdr:rowOff>3528</xdr:rowOff>
    </xdr:to>
    <xdr:cxnSp macro="">
      <xdr:nvCxnSpPr>
        <xdr:cNvPr id="5" name="Elbow Connector 4"/>
        <xdr:cNvCxnSpPr>
          <a:endCxn id="3" idx="1"/>
        </xdr:cNvCxnSpPr>
      </xdr:nvCxnSpPr>
      <xdr:spPr>
        <a:xfrm>
          <a:off x="1594556" y="14654389"/>
          <a:ext cx="2398888" cy="469195"/>
        </a:xfrm>
        <a:prstGeom prst="bentConnector3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117827</xdr:rowOff>
        </xdr:from>
        <xdr:to>
          <xdr:col>0</xdr:col>
          <xdr:colOff>679450</xdr:colOff>
          <xdr:row>90</xdr:row>
          <xdr:rowOff>5644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125589</xdr:rowOff>
        </xdr:from>
        <xdr:to>
          <xdr:col>0</xdr:col>
          <xdr:colOff>736600</xdr:colOff>
          <xdr:row>92</xdr:row>
          <xdr:rowOff>20461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127705</xdr:rowOff>
        </xdr:from>
        <xdr:to>
          <xdr:col>0</xdr:col>
          <xdr:colOff>736600</xdr:colOff>
          <xdr:row>94</xdr:row>
          <xdr:rowOff>22578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4939</xdr:colOff>
          <xdr:row>94</xdr:row>
          <xdr:rowOff>117122</xdr:rowOff>
        </xdr:from>
        <xdr:to>
          <xdr:col>0</xdr:col>
          <xdr:colOff>347839</xdr:colOff>
          <xdr:row>96</xdr:row>
          <xdr:rowOff>21872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127000</xdr:rowOff>
        </xdr:from>
        <xdr:to>
          <xdr:col>0</xdr:col>
          <xdr:colOff>736600</xdr:colOff>
          <xdr:row>98</xdr:row>
          <xdr:rowOff>21873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128412</xdr:rowOff>
        </xdr:from>
        <xdr:to>
          <xdr:col>0</xdr:col>
          <xdr:colOff>736600</xdr:colOff>
          <xdr:row>100</xdr:row>
          <xdr:rowOff>23284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104422</xdr:rowOff>
        </xdr:from>
        <xdr:to>
          <xdr:col>0</xdr:col>
          <xdr:colOff>736600</xdr:colOff>
          <xdr:row>102</xdr:row>
          <xdr:rowOff>2821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2117</xdr:colOff>
          <xdr:row>102</xdr:row>
          <xdr:rowOff>138995</xdr:rowOff>
        </xdr:from>
        <xdr:to>
          <xdr:col>0</xdr:col>
          <xdr:colOff>732367</xdr:colOff>
          <xdr:row>104</xdr:row>
          <xdr:rowOff>33867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209550</xdr:colOff>
          <xdr:row>73</xdr:row>
          <xdr:rowOff>63500</xdr:rowOff>
        </xdr:to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209550</xdr:colOff>
          <xdr:row>75</xdr:row>
          <xdr:rowOff>63500</xdr:rowOff>
        </xdr:to>
        <xdr:sp macro="" textlink="">
          <xdr:nvSpPr>
            <xdr:cNvPr id="9218" name="Control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209550</xdr:colOff>
          <xdr:row>77</xdr:row>
          <xdr:rowOff>63500</xdr:rowOff>
        </xdr:to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209550</xdr:colOff>
          <xdr:row>79</xdr:row>
          <xdr:rowOff>63500</xdr:rowOff>
        </xdr:to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209550</xdr:colOff>
          <xdr:row>81</xdr:row>
          <xdr:rowOff>63500</xdr:rowOff>
        </xdr:to>
        <xdr:sp macro="" textlink="">
          <xdr:nvSpPr>
            <xdr:cNvPr id="9221" name="Control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306279</xdr:colOff>
      <xdr:row>2</xdr:row>
      <xdr:rowOff>130196</xdr:rowOff>
    </xdr:from>
    <xdr:to>
      <xdr:col>3</xdr:col>
      <xdr:colOff>311514</xdr:colOff>
      <xdr:row>3</xdr:row>
      <xdr:rowOff>170908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C72EFD76-896F-6E46-911F-060A04FD5BF5}"/>
            </a:ext>
          </a:extLst>
        </xdr:cNvPr>
        <xdr:cNvCxnSpPr>
          <a:cxnSpLocks/>
        </xdr:cNvCxnSpPr>
      </xdr:nvCxnSpPr>
      <xdr:spPr>
        <a:xfrm rot="16200000" flipH="1">
          <a:off x="11575666" y="-147341"/>
          <a:ext cx="224862" cy="1618135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374903</xdr:colOff>
      <xdr:row>0</xdr:row>
      <xdr:rowOff>106680</xdr:rowOff>
    </xdr:from>
    <xdr:to>
      <xdr:col>2</xdr:col>
      <xdr:colOff>663379</xdr:colOff>
      <xdr:row>2</xdr:row>
      <xdr:rowOff>42096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AF9D6316-87CD-FC46-A7C2-0443E3417387}"/>
            </a:ext>
          </a:extLst>
        </xdr:cNvPr>
        <xdr:cNvSpPr/>
      </xdr:nvSpPr>
      <xdr:spPr>
        <a:xfrm>
          <a:off x="11754103" y="106680"/>
          <a:ext cx="288476" cy="354516"/>
        </a:xfrm>
        <a:prstGeom prst="triangle">
          <a:avLst/>
        </a:prstGeom>
        <a:solidFill>
          <a:schemeClr val="bg1"/>
        </a:solidFill>
        <a:ln w="25400">
          <a:solidFill>
            <a:srgbClr val="FF0000"/>
          </a:solidFill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1</xdr:col>
      <xdr:colOff>679659</xdr:colOff>
      <xdr:row>5</xdr:row>
      <xdr:rowOff>175260</xdr:rowOff>
    </xdr:from>
    <xdr:to>
      <xdr:col>3</xdr:col>
      <xdr:colOff>591823</xdr:colOff>
      <xdr:row>6</xdr:row>
      <xdr:rowOff>169380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9F5958D9-D148-0743-B7EE-65A494AF234C}"/>
            </a:ext>
          </a:extLst>
        </xdr:cNvPr>
        <xdr:cNvCxnSpPr>
          <a:cxnSpLocks/>
        </xdr:cNvCxnSpPr>
      </xdr:nvCxnSpPr>
      <xdr:spPr>
        <a:xfrm rot="5400000" flipH="1" flipV="1">
          <a:off x="11925806" y="473413"/>
          <a:ext cx="178270" cy="1525064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14699</xdr:colOff>
      <xdr:row>0</xdr:row>
      <xdr:rowOff>139629</xdr:rowOff>
    </xdr:from>
    <xdr:to>
      <xdr:col>1</xdr:col>
      <xdr:colOff>202682</xdr:colOff>
      <xdr:row>9</xdr:row>
      <xdr:rowOff>97409</xdr:rowOff>
    </xdr:to>
    <xdr:cxnSp macro="">
      <xdr:nvCxnSpPr>
        <xdr:cNvPr id="5" name="Elbow Connector 4">
          <a:extLst>
            <a:ext uri="{FF2B5EF4-FFF2-40B4-BE49-F238E27FC236}">
              <a16:creationId xmlns:a16="http://schemas.microsoft.com/office/drawing/2014/main" id="{C1EF6FC3-5763-3A45-AFD4-5C31CEE76411}"/>
            </a:ext>
          </a:extLst>
        </xdr:cNvPr>
        <xdr:cNvCxnSpPr>
          <a:cxnSpLocks/>
        </xdr:cNvCxnSpPr>
      </xdr:nvCxnSpPr>
      <xdr:spPr>
        <a:xfrm rot="5400000" flipH="1" flipV="1">
          <a:off x="9445251" y="475377"/>
          <a:ext cx="1665930" cy="994433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365241</xdr:colOff>
      <xdr:row>0</xdr:row>
      <xdr:rowOff>154140</xdr:rowOff>
    </xdr:from>
    <xdr:to>
      <xdr:col>3</xdr:col>
      <xdr:colOff>674037</xdr:colOff>
      <xdr:row>2</xdr:row>
      <xdr:rowOff>64156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CF058BA-B4D1-A243-8A1C-6A99F7BFE57B}"/>
            </a:ext>
          </a:extLst>
        </xdr:cNvPr>
        <xdr:cNvSpPr/>
      </xdr:nvSpPr>
      <xdr:spPr>
        <a:xfrm>
          <a:off x="12550891" y="154140"/>
          <a:ext cx="308796" cy="329116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1</xdr:col>
      <xdr:colOff>0</xdr:colOff>
      <xdr:row>9</xdr:row>
      <xdr:rowOff>155668</xdr:rowOff>
    </xdr:from>
    <xdr:to>
      <xdr:col>2</xdr:col>
      <xdr:colOff>226060</xdr:colOff>
      <xdr:row>9</xdr:row>
      <xdr:rowOff>174198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EDE196B-A9E4-BE4A-88DD-92E93372C13A}"/>
            </a:ext>
          </a:extLst>
        </xdr:cNvPr>
        <xdr:cNvCxnSpPr>
          <a:cxnSpLocks/>
          <a:stCxn id="8" idx="1"/>
        </xdr:cNvCxnSpPr>
      </xdr:nvCxnSpPr>
      <xdr:spPr>
        <a:xfrm flipH="1">
          <a:off x="660400" y="1755868"/>
          <a:ext cx="886460" cy="1853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226060</xdr:colOff>
      <xdr:row>9</xdr:row>
      <xdr:rowOff>0</xdr:rowOff>
    </xdr:from>
    <xdr:to>
      <xdr:col>2</xdr:col>
      <xdr:colOff>511996</xdr:colOff>
      <xdr:row>10</xdr:row>
      <xdr:rowOff>133536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E9FC19C-D93B-3841-95D3-97A128B8F7E0}"/>
            </a:ext>
          </a:extLst>
        </xdr:cNvPr>
        <xdr:cNvSpPr/>
      </xdr:nvSpPr>
      <xdr:spPr>
        <a:xfrm>
          <a:off x="1546860" y="1600200"/>
          <a:ext cx="285936" cy="311336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0</xdr:col>
      <xdr:colOff>114302</xdr:colOff>
      <xdr:row>64</xdr:row>
      <xdr:rowOff>73536</xdr:rowOff>
    </xdr:from>
    <xdr:to>
      <xdr:col>1</xdr:col>
      <xdr:colOff>304802</xdr:colOff>
      <xdr:row>64</xdr:row>
      <xdr:rowOff>75938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EDE196B-A9E4-BE4A-88DD-92E93372C13A}"/>
            </a:ext>
          </a:extLst>
        </xdr:cNvPr>
        <xdr:cNvCxnSpPr>
          <a:cxnSpLocks/>
          <a:stCxn id="12" idx="1"/>
        </xdr:cNvCxnSpPr>
      </xdr:nvCxnSpPr>
      <xdr:spPr>
        <a:xfrm flipH="1">
          <a:off x="114302" y="11459086"/>
          <a:ext cx="850900" cy="2402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304802</xdr:colOff>
      <xdr:row>63</xdr:row>
      <xdr:rowOff>133768</xdr:rowOff>
    </xdr:from>
    <xdr:to>
      <xdr:col>1</xdr:col>
      <xdr:colOff>628838</xdr:colOff>
      <xdr:row>65</xdr:row>
      <xdr:rowOff>13304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9EF643-AD0A-5541-8063-35832ED11499}"/>
            </a:ext>
          </a:extLst>
        </xdr:cNvPr>
        <xdr:cNvSpPr/>
      </xdr:nvSpPr>
      <xdr:spPr>
        <a:xfrm>
          <a:off x="965202" y="11341518"/>
          <a:ext cx="324036" cy="235136"/>
        </a:xfrm>
        <a:prstGeom prst="rect">
          <a:avLst/>
        </a:prstGeom>
        <a:solidFill>
          <a:schemeClr val="bg1"/>
        </a:solidFill>
        <a:ln w="254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4</xdr:col>
      <xdr:colOff>60443</xdr:colOff>
      <xdr:row>28</xdr:row>
      <xdr:rowOff>101600</xdr:rowOff>
    </xdr:from>
    <xdr:to>
      <xdr:col>4</xdr:col>
      <xdr:colOff>333679</xdr:colOff>
      <xdr:row>30</xdr:row>
      <xdr:rowOff>186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DE9F945-4B43-EF43-ACB9-7FAC799DA1F2}"/>
            </a:ext>
          </a:extLst>
        </xdr:cNvPr>
        <xdr:cNvSpPr/>
      </xdr:nvSpPr>
      <xdr:spPr>
        <a:xfrm>
          <a:off x="2765543" y="5092700"/>
          <a:ext cx="273236" cy="273236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1</xdr:col>
      <xdr:colOff>466819</xdr:colOff>
      <xdr:row>29</xdr:row>
      <xdr:rowOff>47719</xdr:rowOff>
    </xdr:from>
    <xdr:to>
      <xdr:col>4</xdr:col>
      <xdr:colOff>60442</xdr:colOff>
      <xdr:row>63</xdr:row>
      <xdr:rowOff>133769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C1EF6FC3-5763-3A45-AFD4-5C31CEE76411}"/>
            </a:ext>
          </a:extLst>
        </xdr:cNvPr>
        <xdr:cNvCxnSpPr>
          <a:cxnSpLocks/>
          <a:stCxn id="12" idx="0"/>
          <a:endCxn id="13" idx="2"/>
        </xdr:cNvCxnSpPr>
      </xdr:nvCxnSpPr>
      <xdr:spPr>
        <a:xfrm rot="5400000" flipH="1" flipV="1">
          <a:off x="-1122419" y="7478957"/>
          <a:ext cx="6137600" cy="1638323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466820</xdr:colOff>
      <xdr:row>65</xdr:row>
      <xdr:rowOff>13304</xdr:rowOff>
    </xdr:from>
    <xdr:to>
      <xdr:col>4</xdr:col>
      <xdr:colOff>12700</xdr:colOff>
      <xdr:row>70</xdr:row>
      <xdr:rowOff>98518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827F6D68-7D56-7542-9BF7-984BA5159D50}"/>
            </a:ext>
          </a:extLst>
        </xdr:cNvPr>
        <xdr:cNvCxnSpPr>
          <a:cxnSpLocks/>
          <a:stCxn id="12" idx="2"/>
          <a:endCxn id="24" idx="2"/>
        </xdr:cNvCxnSpPr>
      </xdr:nvCxnSpPr>
      <xdr:spPr>
        <a:xfrm rot="16200000" flipH="1">
          <a:off x="1425878" y="11303396"/>
          <a:ext cx="993264" cy="1590580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395816</xdr:colOff>
      <xdr:row>64</xdr:row>
      <xdr:rowOff>176808</xdr:rowOff>
    </xdr:from>
    <xdr:to>
      <xdr:col>3</xdr:col>
      <xdr:colOff>774699</xdr:colOff>
      <xdr:row>107</xdr:row>
      <xdr:rowOff>136618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827F6D68-7D56-7542-9BF7-984BA5159D50}"/>
            </a:ext>
          </a:extLst>
        </xdr:cNvPr>
        <xdr:cNvCxnSpPr>
          <a:cxnSpLocks/>
          <a:endCxn id="27" idx="2"/>
        </xdr:cNvCxnSpPr>
      </xdr:nvCxnSpPr>
      <xdr:spPr>
        <a:xfrm rot="16200000" flipH="1">
          <a:off x="-1918772" y="14562746"/>
          <a:ext cx="7649660" cy="1699683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69</xdr:row>
      <xdr:rowOff>152400</xdr:rowOff>
    </xdr:from>
    <xdr:to>
      <xdr:col>4</xdr:col>
      <xdr:colOff>285936</xdr:colOff>
      <xdr:row>71</xdr:row>
      <xdr:rowOff>50986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DE9F945-4B43-EF43-ACB9-7FAC799DA1F2}"/>
            </a:ext>
          </a:extLst>
        </xdr:cNvPr>
        <xdr:cNvSpPr/>
      </xdr:nvSpPr>
      <xdr:spPr>
        <a:xfrm>
          <a:off x="2717800" y="12458700"/>
          <a:ext cx="273236" cy="273236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4</xdr:col>
      <xdr:colOff>0</xdr:colOff>
      <xdr:row>107</xdr:row>
      <xdr:rowOff>0</xdr:rowOff>
    </xdr:from>
    <xdr:to>
      <xdr:col>4</xdr:col>
      <xdr:colOff>273236</xdr:colOff>
      <xdr:row>108</xdr:row>
      <xdr:rowOff>89086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DE9F945-4B43-EF43-ACB9-7FAC799DA1F2}"/>
            </a:ext>
          </a:extLst>
        </xdr:cNvPr>
        <xdr:cNvSpPr/>
      </xdr:nvSpPr>
      <xdr:spPr>
        <a:xfrm>
          <a:off x="2755900" y="19100800"/>
          <a:ext cx="273236" cy="273236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6</xdr:col>
      <xdr:colOff>53882</xdr:colOff>
      <xdr:row>23</xdr:row>
      <xdr:rowOff>12700</xdr:rowOff>
    </xdr:from>
    <xdr:to>
      <xdr:col>7</xdr:col>
      <xdr:colOff>9618</xdr:colOff>
      <xdr:row>25</xdr:row>
      <xdr:rowOff>5880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9DE7862-B8A0-9B4F-91E9-09D3F0633D35}"/>
            </a:ext>
          </a:extLst>
        </xdr:cNvPr>
        <xdr:cNvSpPr/>
      </xdr:nvSpPr>
      <xdr:spPr>
        <a:xfrm>
          <a:off x="3806732" y="3429000"/>
          <a:ext cx="298636" cy="285280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  <xdr:twoCellAnchor>
    <xdr:from>
      <xdr:col>4</xdr:col>
      <xdr:colOff>197060</xdr:colOff>
      <xdr:row>24</xdr:row>
      <xdr:rowOff>9291</xdr:rowOff>
    </xdr:from>
    <xdr:to>
      <xdr:col>6</xdr:col>
      <xdr:colOff>53881</xdr:colOff>
      <xdr:row>28</xdr:row>
      <xdr:rowOff>101601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EB7EEC23-52DD-6E41-A731-22C1DAD54656}"/>
            </a:ext>
          </a:extLst>
        </xdr:cNvPr>
        <xdr:cNvCxnSpPr>
          <a:cxnSpLocks/>
          <a:stCxn id="13" idx="0"/>
          <a:endCxn id="29" idx="2"/>
        </xdr:cNvCxnSpPr>
      </xdr:nvCxnSpPr>
      <xdr:spPr>
        <a:xfrm rot="5400000" flipH="1" flipV="1">
          <a:off x="3038416" y="3486185"/>
          <a:ext cx="682860" cy="853771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30</xdr:row>
      <xdr:rowOff>12700</xdr:rowOff>
    </xdr:from>
    <xdr:to>
      <xdr:col>6</xdr:col>
      <xdr:colOff>44450</xdr:colOff>
      <xdr:row>52</xdr:row>
      <xdr:rowOff>72790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2AD8CE81-2E06-B84E-8547-B4E4B823678F}"/>
            </a:ext>
          </a:extLst>
        </xdr:cNvPr>
        <xdr:cNvCxnSpPr>
          <a:cxnSpLocks/>
          <a:endCxn id="34" idx="2"/>
        </xdr:cNvCxnSpPr>
      </xdr:nvCxnSpPr>
      <xdr:spPr>
        <a:xfrm rot="16200000" flipH="1">
          <a:off x="1747955" y="5706945"/>
          <a:ext cx="3273190" cy="825500"/>
        </a:xfrm>
        <a:prstGeom prst="bentConnector2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44450</xdr:colOff>
      <xdr:row>51</xdr:row>
      <xdr:rowOff>76200</xdr:rowOff>
    </xdr:from>
    <xdr:to>
      <xdr:col>7</xdr:col>
      <xdr:colOff>186</xdr:colOff>
      <xdr:row>53</xdr:row>
      <xdr:rowOff>69380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9DE7862-B8A0-9B4F-91E9-09D3F0633D35}"/>
            </a:ext>
          </a:extLst>
        </xdr:cNvPr>
        <xdr:cNvSpPr/>
      </xdr:nvSpPr>
      <xdr:spPr>
        <a:xfrm>
          <a:off x="3797300" y="7613650"/>
          <a:ext cx="298636" cy="285280"/>
        </a:xfrm>
        <a:prstGeom prst="ellipse">
          <a:avLst/>
        </a:prstGeom>
        <a:solidFill>
          <a:schemeClr val="bg1"/>
        </a:solidFill>
        <a:ln w="254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sz="135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ighj/Documents/D2P/D2P%202023/Vital%20Statagies/Course%20Content/Week%203/F223DecisionTreeexercisesolution-210501-1511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V_Parameters"/>
      <sheetName val="HIV_Decision Tree"/>
      <sheetName val="Syphillis_Parameters"/>
      <sheetName val="Syphillis_DT"/>
    </sheetNames>
    <sheetDataSet>
      <sheetData sheetId="0">
        <row r="6">
          <cell r="C6">
            <v>0.05</v>
          </cell>
        </row>
        <row r="7">
          <cell r="C7">
            <v>0.26</v>
          </cell>
        </row>
        <row r="8">
          <cell r="C8">
            <v>7.0000000000000007E-2</v>
          </cell>
        </row>
        <row r="9">
          <cell r="C9">
            <v>0.95</v>
          </cell>
        </row>
        <row r="10">
          <cell r="C10">
            <v>10</v>
          </cell>
        </row>
        <row r="11">
          <cell r="C11">
            <v>800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12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trlProp" Target="../ctrlProps/ctrlProp4.xml"/><Relationship Id="rId5" Type="http://schemas.openxmlformats.org/officeDocument/2006/relationships/control" Target="../activeX/activeX2.xml"/><Relationship Id="rId15" Type="http://schemas.openxmlformats.org/officeDocument/2006/relationships/ctrlProp" Target="../ctrlProps/ctrlProp8.xml"/><Relationship Id="rId10" Type="http://schemas.openxmlformats.org/officeDocument/2006/relationships/ctrlProp" Target="../ctrlProps/ctrlProp3.xml"/><Relationship Id="rId4" Type="http://schemas.openxmlformats.org/officeDocument/2006/relationships/image" Target="../media/image1.emf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control" Target="../activeX/activeX5.xml"/><Relationship Id="rId7" Type="http://schemas.openxmlformats.org/officeDocument/2006/relationships/control" Target="../activeX/activeX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7.xml"/><Relationship Id="rId5" Type="http://schemas.openxmlformats.org/officeDocument/2006/relationships/control" Target="../activeX/activeX6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sqref="A1:R1"/>
    </sheetView>
  </sheetViews>
  <sheetFormatPr defaultRowHeight="14"/>
  <sheetData>
    <row r="1" spans="1:18" ht="14" customHeight="1">
      <c r="A1" s="35" t="s">
        <v>187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s="23" customFormat="1" ht="167" customHeight="1">
      <c r="A2" s="69" t="s">
        <v>188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18">
      <c r="A3" s="35" t="s">
        <v>189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s="23" customFormat="1" ht="12.5">
      <c r="A4" s="71" t="s">
        <v>190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18" s="23" customFormat="1" ht="52.5" customHeight="1">
      <c r="A5" s="69" t="s">
        <v>191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18" s="23" customFormat="1" ht="53.5" customHeight="1">
      <c r="A6" s="73" t="s">
        <v>192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1:18" s="76" customFormat="1" ht="43.5" customHeight="1">
      <c r="A7" s="69" t="s">
        <v>193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</row>
    <row r="8" spans="1:18" s="23" customFormat="1" ht="54.5" customHeight="1">
      <c r="A8" s="73" t="s">
        <v>194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</row>
    <row r="9" spans="1:18" s="23" customFormat="1" ht="117" customHeight="1">
      <c r="A9" s="69" t="s">
        <v>195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</row>
    <row r="10" spans="1:18" s="23" customFormat="1" ht="61.5" customHeight="1">
      <c r="A10" s="73" t="s">
        <v>196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</row>
    <row r="11" spans="1:18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</row>
    <row r="12" spans="1:18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</row>
    <row r="13" spans="1:18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</row>
    <row r="14" spans="1:18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</row>
    <row r="15" spans="1:18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</row>
    <row r="16" spans="1:18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</row>
    <row r="17" spans="1:18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</row>
    <row r="18" spans="1: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</row>
    <row r="19" spans="1:18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</row>
    <row r="20" spans="1:18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</row>
    <row r="21" spans="1:18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</row>
    <row r="22" spans="1:18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</row>
    <row r="23" spans="1:18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</row>
    <row r="24" spans="1:18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</row>
    <row r="25" spans="1:18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1:18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</row>
  </sheetData>
  <mergeCells count="26">
    <mergeCell ref="A23:R23"/>
    <mergeCell ref="A24:R24"/>
    <mergeCell ref="A25:R25"/>
    <mergeCell ref="A26:R26"/>
    <mergeCell ref="A17:R17"/>
    <mergeCell ref="A18:R18"/>
    <mergeCell ref="A19:R19"/>
    <mergeCell ref="A20:R20"/>
    <mergeCell ref="A21:R21"/>
    <mergeCell ref="A22:R22"/>
    <mergeCell ref="A11:R11"/>
    <mergeCell ref="A12:R12"/>
    <mergeCell ref="A13:R13"/>
    <mergeCell ref="A14:R14"/>
    <mergeCell ref="A15:R15"/>
    <mergeCell ref="A16:R16"/>
    <mergeCell ref="A5:R5"/>
    <mergeCell ref="A6:R6"/>
    <mergeCell ref="A7:R7"/>
    <mergeCell ref="A8:R8"/>
    <mergeCell ref="A9:R9"/>
    <mergeCell ref="A10:R10"/>
    <mergeCell ref="A1:R1"/>
    <mergeCell ref="A2:R2"/>
    <mergeCell ref="A3:R3"/>
    <mergeCell ref="A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07"/>
  <sheetViews>
    <sheetView topLeftCell="A7" zoomScale="80" zoomScaleNormal="80" workbookViewId="0">
      <selection activeCell="A29" sqref="A29:H29"/>
    </sheetView>
  </sheetViews>
  <sheetFormatPr defaultRowHeight="12.5"/>
  <cols>
    <col min="1" max="1" width="38.25" style="23" customWidth="1"/>
    <col min="2" max="2" width="23.1640625" style="23" customWidth="1"/>
    <col min="3" max="3" width="18" style="23" customWidth="1"/>
    <col min="4" max="4" width="24" style="23" customWidth="1"/>
    <col min="5" max="7" width="10" style="23" customWidth="1"/>
    <col min="8" max="8" width="42" style="23" customWidth="1"/>
    <col min="9" max="16384" width="8.6640625" style="23"/>
  </cols>
  <sheetData>
    <row r="1" spans="1:8" ht="13">
      <c r="A1" s="104" t="s">
        <v>0</v>
      </c>
      <c r="B1" s="104"/>
      <c r="C1" s="104"/>
      <c r="D1" s="104"/>
      <c r="E1" s="104"/>
      <c r="F1" s="104"/>
      <c r="G1" s="104"/>
      <c r="H1" s="104"/>
    </row>
    <row r="2" spans="1:8" ht="26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</row>
    <row r="3" spans="1:8" ht="25">
      <c r="A3" s="37" t="s">
        <v>9</v>
      </c>
      <c r="B3" s="38" t="s">
        <v>10</v>
      </c>
      <c r="C3" s="38"/>
      <c r="D3" s="38"/>
      <c r="E3" s="38"/>
      <c r="F3" s="38"/>
      <c r="G3" s="38"/>
      <c r="H3" s="39" t="s">
        <v>12</v>
      </c>
    </row>
    <row r="4" spans="1:8">
      <c r="A4" s="24" t="s">
        <v>13</v>
      </c>
      <c r="B4" s="24" t="s">
        <v>14</v>
      </c>
      <c r="C4" s="24"/>
      <c r="D4" s="24" t="s">
        <v>15</v>
      </c>
      <c r="E4" s="40"/>
      <c r="F4" s="40">
        <v>0.88</v>
      </c>
      <c r="G4" s="40">
        <v>1</v>
      </c>
      <c r="H4" s="24" t="s">
        <v>16</v>
      </c>
    </row>
    <row r="5" spans="1:8" ht="25">
      <c r="A5" s="41" t="s">
        <v>17</v>
      </c>
      <c r="B5" s="42" t="s">
        <v>18</v>
      </c>
      <c r="C5" s="42"/>
      <c r="D5" s="42"/>
      <c r="E5" s="42">
        <v>0.109</v>
      </c>
      <c r="F5" s="42">
        <v>5.0999999999999997E-2</v>
      </c>
      <c r="G5" s="42">
        <v>0.18</v>
      </c>
      <c r="H5" s="43" t="s">
        <v>19</v>
      </c>
    </row>
    <row r="6" spans="1:8">
      <c r="A6" s="24" t="s">
        <v>20</v>
      </c>
      <c r="B6" s="24" t="s">
        <v>21</v>
      </c>
      <c r="C6" s="24"/>
      <c r="D6" s="24"/>
      <c r="E6" s="40"/>
      <c r="F6" s="40">
        <v>0.17</v>
      </c>
      <c r="G6" s="40">
        <v>1</v>
      </c>
      <c r="H6" s="24" t="s">
        <v>22</v>
      </c>
    </row>
    <row r="7" spans="1:8">
      <c r="A7" s="41" t="s">
        <v>23</v>
      </c>
      <c r="B7" s="42" t="s">
        <v>24</v>
      </c>
      <c r="C7" s="42"/>
      <c r="D7" s="42"/>
      <c r="E7" s="42">
        <v>0.9</v>
      </c>
      <c r="F7" s="42"/>
      <c r="G7" s="42"/>
      <c r="H7" s="43" t="s">
        <v>25</v>
      </c>
    </row>
    <row r="8" spans="1:8">
      <c r="A8" s="24" t="s">
        <v>26</v>
      </c>
      <c r="B8" s="24" t="s">
        <v>27</v>
      </c>
      <c r="C8" s="24"/>
      <c r="D8" s="24"/>
      <c r="E8" s="40"/>
      <c r="F8" s="40">
        <v>0.15</v>
      </c>
      <c r="G8" s="40">
        <v>0.66700000000000004</v>
      </c>
      <c r="H8" s="24" t="s">
        <v>28</v>
      </c>
    </row>
    <row r="9" spans="1:8">
      <c r="A9" s="41" t="s">
        <v>29</v>
      </c>
      <c r="B9" s="42" t="s">
        <v>30</v>
      </c>
      <c r="C9" s="42"/>
      <c r="D9" s="42"/>
      <c r="E9" s="42">
        <v>7.5999999999999998E-2</v>
      </c>
      <c r="F9" s="42"/>
      <c r="G9" s="42"/>
      <c r="H9" s="43" t="s">
        <v>31</v>
      </c>
    </row>
    <row r="10" spans="1:8">
      <c r="A10" s="24" t="s">
        <v>32</v>
      </c>
      <c r="B10" s="24" t="s">
        <v>33</v>
      </c>
      <c r="C10" s="24" t="s">
        <v>34</v>
      </c>
      <c r="D10" s="24" t="s">
        <v>35</v>
      </c>
      <c r="E10" s="40">
        <v>0.379</v>
      </c>
      <c r="F10" s="40">
        <v>0.23799999999999999</v>
      </c>
      <c r="G10" s="40">
        <v>0.57499999999999996</v>
      </c>
      <c r="H10" s="24" t="s">
        <v>36</v>
      </c>
    </row>
    <row r="11" spans="1:8" ht="25">
      <c r="A11" s="41" t="s">
        <v>37</v>
      </c>
      <c r="B11" s="42" t="s">
        <v>38</v>
      </c>
      <c r="C11" s="51" t="s">
        <v>39</v>
      </c>
      <c r="D11" s="51" t="s">
        <v>40</v>
      </c>
      <c r="E11" s="42">
        <v>0.216</v>
      </c>
      <c r="F11" s="42"/>
      <c r="G11" s="42"/>
      <c r="H11" s="43" t="s">
        <v>41</v>
      </c>
    </row>
    <row r="12" spans="1:8">
      <c r="A12" s="24" t="s">
        <v>42</v>
      </c>
      <c r="B12" s="24" t="s">
        <v>43</v>
      </c>
      <c r="C12" s="24"/>
      <c r="D12" s="24"/>
      <c r="E12" s="40">
        <v>0.216</v>
      </c>
      <c r="F12" s="40"/>
      <c r="G12" s="40"/>
      <c r="H12" s="24" t="s">
        <v>44</v>
      </c>
    </row>
    <row r="13" spans="1:8">
      <c r="A13" s="41" t="s">
        <v>45</v>
      </c>
      <c r="B13" s="42" t="s">
        <v>46</v>
      </c>
      <c r="C13" s="42"/>
      <c r="D13" s="42"/>
      <c r="E13" s="42">
        <v>0.85</v>
      </c>
      <c r="F13" s="42">
        <v>0.28999999999999998</v>
      </c>
      <c r="G13" s="42">
        <v>0.98</v>
      </c>
      <c r="H13" s="43" t="s">
        <v>48</v>
      </c>
    </row>
    <row r="14" spans="1:8">
      <c r="A14" s="24" t="s">
        <v>49</v>
      </c>
      <c r="B14" s="24" t="s">
        <v>50</v>
      </c>
      <c r="C14" s="24"/>
      <c r="D14" s="24"/>
      <c r="E14" s="40"/>
      <c r="F14" s="40">
        <v>0.89</v>
      </c>
      <c r="G14" s="40">
        <v>1</v>
      </c>
      <c r="H14" s="24" t="s">
        <v>52</v>
      </c>
    </row>
    <row r="15" spans="1:8">
      <c r="A15" s="41" t="s">
        <v>53</v>
      </c>
      <c r="B15" s="42" t="s">
        <v>54</v>
      </c>
      <c r="C15" s="42"/>
      <c r="D15" s="42"/>
      <c r="E15" s="42">
        <v>1</v>
      </c>
      <c r="F15" s="42">
        <v>1</v>
      </c>
      <c r="G15" s="42">
        <v>1</v>
      </c>
      <c r="H15" s="43" t="s">
        <v>55</v>
      </c>
    </row>
    <row r="16" spans="1:8">
      <c r="A16" s="24" t="s">
        <v>56</v>
      </c>
      <c r="B16" s="24" t="s">
        <v>57</v>
      </c>
      <c r="C16" s="24"/>
      <c r="D16" s="24"/>
      <c r="E16" s="40">
        <v>55</v>
      </c>
      <c r="F16" s="40"/>
      <c r="G16" s="40"/>
      <c r="H16" s="24"/>
    </row>
    <row r="17" spans="1:8">
      <c r="A17" s="41" t="s">
        <v>58</v>
      </c>
      <c r="B17" s="42" t="s">
        <v>59</v>
      </c>
      <c r="C17" s="42"/>
      <c r="D17" s="42"/>
      <c r="E17" s="42"/>
      <c r="F17" s="42"/>
      <c r="G17" s="42"/>
      <c r="H17" s="42" t="s">
        <v>186</v>
      </c>
    </row>
    <row r="18" spans="1:8">
      <c r="A18" s="24" t="s">
        <v>60</v>
      </c>
      <c r="B18" s="24" t="s">
        <v>61</v>
      </c>
      <c r="C18" s="24"/>
      <c r="D18" s="24"/>
      <c r="E18" s="40"/>
      <c r="F18" s="40"/>
      <c r="G18" s="40"/>
      <c r="H18" s="24" t="s">
        <v>186</v>
      </c>
    </row>
    <row r="19" spans="1:8" ht="18.5" customHeight="1">
      <c r="A19" s="41" t="s">
        <v>62</v>
      </c>
      <c r="B19" s="42" t="s">
        <v>63</v>
      </c>
      <c r="C19" s="42"/>
      <c r="D19" s="42"/>
      <c r="E19" s="42">
        <v>1.64</v>
      </c>
      <c r="F19" s="42"/>
      <c r="G19" s="42"/>
      <c r="H19" s="42" t="s">
        <v>186</v>
      </c>
    </row>
    <row r="20" spans="1:8">
      <c r="A20" s="24" t="s">
        <v>64</v>
      </c>
      <c r="B20" s="24" t="s">
        <v>65</v>
      </c>
      <c r="C20" s="24"/>
      <c r="D20" s="24"/>
      <c r="E20" s="40"/>
      <c r="F20" s="24"/>
      <c r="G20" s="24"/>
      <c r="H20" s="24" t="s">
        <v>186</v>
      </c>
    </row>
    <row r="21" spans="1:8">
      <c r="A21" s="41" t="s">
        <v>66</v>
      </c>
      <c r="B21" s="42" t="s">
        <v>67</v>
      </c>
      <c r="C21" s="42"/>
      <c r="D21" s="42"/>
      <c r="E21" s="42"/>
      <c r="F21" s="42">
        <v>0.11</v>
      </c>
      <c r="G21" s="42">
        <v>0.94799999999999995</v>
      </c>
      <c r="H21" s="43" t="s">
        <v>68</v>
      </c>
    </row>
    <row r="22" spans="1:8">
      <c r="A22" s="24" t="s">
        <v>69</v>
      </c>
      <c r="B22" s="24" t="s">
        <v>70</v>
      </c>
      <c r="C22" s="24"/>
      <c r="D22" s="24"/>
      <c r="E22" s="40"/>
      <c r="F22" s="24"/>
      <c r="G22" s="24"/>
      <c r="H22" s="24" t="s">
        <v>186</v>
      </c>
    </row>
    <row r="24" spans="1:8" ht="25" customHeight="1">
      <c r="A24" s="35" t="s">
        <v>105</v>
      </c>
      <c r="B24" s="35"/>
      <c r="C24" s="35"/>
      <c r="D24" s="35"/>
      <c r="E24" s="35"/>
      <c r="F24" s="35"/>
      <c r="G24" s="35"/>
      <c r="H24" s="35"/>
    </row>
    <row r="25" spans="1:8" ht="13">
      <c r="A25" s="82" t="s">
        <v>106</v>
      </c>
      <c r="B25" s="82"/>
      <c r="C25" s="82"/>
      <c r="D25" s="82"/>
      <c r="E25" s="82"/>
      <c r="F25" s="82"/>
      <c r="G25" s="82"/>
      <c r="H25" s="82"/>
    </row>
    <row r="26" spans="1:8" ht="16.5" customHeight="1">
      <c r="A26" s="49" t="s">
        <v>107</v>
      </c>
      <c r="B26" s="49"/>
      <c r="C26" s="49"/>
      <c r="D26" s="49"/>
      <c r="E26" s="49"/>
      <c r="F26" s="49"/>
      <c r="G26" s="49"/>
      <c r="H26" s="49"/>
    </row>
    <row r="27" spans="1:8" ht="13">
      <c r="A27" s="50" t="s">
        <v>108</v>
      </c>
      <c r="B27" s="50"/>
      <c r="C27" s="50"/>
      <c r="D27" s="50"/>
      <c r="E27" s="50"/>
      <c r="F27" s="50"/>
      <c r="G27" s="50"/>
      <c r="H27" s="50"/>
    </row>
    <row r="28" spans="1:8">
      <c r="A28" s="49" t="s">
        <v>109</v>
      </c>
      <c r="B28" s="49"/>
      <c r="C28" s="49"/>
      <c r="D28" s="49"/>
      <c r="E28" s="49"/>
      <c r="F28" s="49"/>
      <c r="G28" s="49"/>
      <c r="H28" s="49"/>
    </row>
    <row r="29" spans="1:8" ht="16.5" customHeight="1">
      <c r="A29" s="54" t="s">
        <v>126</v>
      </c>
      <c r="B29" s="54"/>
      <c r="C29" s="54"/>
      <c r="D29" s="54"/>
      <c r="E29" s="54"/>
      <c r="F29" s="54"/>
      <c r="G29" s="54"/>
      <c r="H29" s="54"/>
    </row>
    <row r="30" spans="1:8" ht="14" customHeight="1">
      <c r="A30" s="54" t="s">
        <v>127</v>
      </c>
      <c r="B30" s="54"/>
      <c r="C30" s="54"/>
      <c r="D30" s="54"/>
      <c r="E30" s="54"/>
      <c r="F30" s="54"/>
      <c r="G30" s="54"/>
      <c r="H30" s="54"/>
    </row>
    <row r="31" spans="1:8" ht="15" customHeight="1">
      <c r="A31" s="54" t="s">
        <v>185</v>
      </c>
      <c r="B31" s="54"/>
      <c r="C31" s="54"/>
      <c r="D31" s="54"/>
      <c r="E31" s="54"/>
      <c r="F31" s="54"/>
      <c r="G31" s="54"/>
      <c r="H31" s="54"/>
    </row>
    <row r="32" spans="1:8" ht="29" customHeight="1">
      <c r="A32" s="54" t="s">
        <v>128</v>
      </c>
      <c r="B32" s="54"/>
      <c r="C32" s="54"/>
      <c r="D32" s="54"/>
      <c r="E32" s="54"/>
      <c r="F32" s="54"/>
      <c r="G32" s="54"/>
      <c r="H32" s="54"/>
    </row>
    <row r="33" spans="1:8" ht="14" customHeight="1">
      <c r="A33" s="54" t="s">
        <v>129</v>
      </c>
      <c r="B33" s="54"/>
      <c r="C33" s="54"/>
      <c r="D33" s="54"/>
      <c r="E33" s="54"/>
      <c r="F33" s="54"/>
      <c r="G33" s="54"/>
      <c r="H33" s="54"/>
    </row>
    <row r="34" spans="1:8" ht="16.5" customHeight="1">
      <c r="A34" s="54" t="s">
        <v>130</v>
      </c>
      <c r="B34" s="54"/>
      <c r="C34" s="54"/>
      <c r="D34" s="54"/>
      <c r="E34" s="54"/>
      <c r="F34" s="54"/>
      <c r="G34" s="54"/>
      <c r="H34" s="54"/>
    </row>
    <row r="35" spans="1:8" ht="14" customHeight="1">
      <c r="A35" s="54" t="s">
        <v>131</v>
      </c>
      <c r="B35" s="54"/>
      <c r="C35" s="54"/>
      <c r="D35" s="54"/>
      <c r="E35" s="54"/>
      <c r="F35" s="54"/>
      <c r="G35" s="54"/>
      <c r="H35" s="54"/>
    </row>
    <row r="36" spans="1:8" ht="13">
      <c r="A36" s="80" t="s">
        <v>110</v>
      </c>
      <c r="B36" s="24"/>
      <c r="C36" s="24"/>
      <c r="D36" s="24"/>
      <c r="E36" s="24"/>
      <c r="F36" s="24"/>
      <c r="G36" s="24"/>
      <c r="H36" s="24"/>
    </row>
    <row r="37" spans="1:8" ht="19" customHeight="1" thickBot="1">
      <c r="A37" s="56" t="s">
        <v>132</v>
      </c>
      <c r="B37" s="56"/>
      <c r="C37" s="56"/>
      <c r="D37" s="24"/>
      <c r="E37" s="24"/>
      <c r="F37" s="24"/>
      <c r="G37" s="24"/>
      <c r="H37" s="24"/>
    </row>
    <row r="38" spans="1:8" ht="14" customHeight="1">
      <c r="A38" s="59" t="s">
        <v>133</v>
      </c>
      <c r="B38" s="60" t="s">
        <v>134</v>
      </c>
      <c r="C38" s="61" t="s">
        <v>135</v>
      </c>
      <c r="D38" s="55"/>
      <c r="E38" s="24"/>
      <c r="F38" s="24"/>
      <c r="G38" s="24"/>
      <c r="H38" s="24"/>
    </row>
    <row r="39" spans="1:8" ht="37" customHeight="1">
      <c r="A39" s="62" t="s">
        <v>136</v>
      </c>
      <c r="B39" s="58" t="s">
        <v>137</v>
      </c>
      <c r="C39" s="63" t="s">
        <v>138</v>
      </c>
      <c r="D39" s="55"/>
      <c r="E39" s="24"/>
      <c r="F39" s="24"/>
      <c r="G39" s="24"/>
      <c r="H39" s="24"/>
    </row>
    <row r="40" spans="1:8" ht="29.5" customHeight="1">
      <c r="A40" s="62" t="s">
        <v>139</v>
      </c>
      <c r="B40" s="58" t="s">
        <v>140</v>
      </c>
      <c r="C40" s="63" t="s">
        <v>141</v>
      </c>
      <c r="D40" s="55"/>
      <c r="E40" s="24"/>
      <c r="F40" s="24"/>
      <c r="G40" s="24"/>
      <c r="H40" s="24"/>
    </row>
    <row r="41" spans="1:8" ht="27.5" customHeight="1">
      <c r="A41" s="62" t="s">
        <v>142</v>
      </c>
      <c r="B41" s="58" t="s">
        <v>143</v>
      </c>
      <c r="C41" s="63" t="s">
        <v>144</v>
      </c>
      <c r="D41" s="55"/>
      <c r="E41" s="24"/>
      <c r="F41" s="24"/>
      <c r="G41" s="24"/>
      <c r="H41" s="24"/>
    </row>
    <row r="42" spans="1:8" ht="28" customHeight="1">
      <c r="A42" s="62" t="s">
        <v>145</v>
      </c>
      <c r="B42" s="58" t="s">
        <v>146</v>
      </c>
      <c r="C42" s="63" t="s">
        <v>11</v>
      </c>
      <c r="D42" s="55"/>
      <c r="E42" s="24"/>
      <c r="F42" s="24"/>
      <c r="G42" s="24"/>
      <c r="H42" s="24"/>
    </row>
    <row r="43" spans="1:8">
      <c r="A43" s="62" t="s">
        <v>147</v>
      </c>
      <c r="B43" s="58" t="s">
        <v>148</v>
      </c>
      <c r="C43" s="63" t="s">
        <v>149</v>
      </c>
      <c r="D43" s="55"/>
      <c r="E43" s="24"/>
      <c r="F43" s="24"/>
      <c r="G43" s="24"/>
      <c r="H43" s="24"/>
    </row>
    <row r="44" spans="1:8">
      <c r="A44" s="62" t="s">
        <v>150</v>
      </c>
      <c r="B44" s="58" t="s">
        <v>151</v>
      </c>
      <c r="C44" s="63" t="s">
        <v>152</v>
      </c>
      <c r="D44" s="55"/>
      <c r="E44" s="24"/>
      <c r="F44" s="24"/>
      <c r="G44" s="24"/>
      <c r="H44" s="24"/>
    </row>
    <row r="45" spans="1:8">
      <c r="A45" s="62" t="s">
        <v>153</v>
      </c>
      <c r="B45" s="58" t="s">
        <v>154</v>
      </c>
      <c r="C45" s="63" t="s">
        <v>155</v>
      </c>
      <c r="D45" s="55"/>
      <c r="E45" s="24"/>
      <c r="F45" s="24"/>
      <c r="G45" s="24"/>
      <c r="H45" s="24"/>
    </row>
    <row r="46" spans="1:8">
      <c r="A46" s="62" t="s">
        <v>156</v>
      </c>
      <c r="B46" s="58" t="s">
        <v>157</v>
      </c>
      <c r="C46" s="63" t="s">
        <v>158</v>
      </c>
      <c r="D46" s="55"/>
      <c r="E46" s="24"/>
      <c r="F46" s="24"/>
      <c r="G46" s="24"/>
      <c r="H46" s="24"/>
    </row>
    <row r="47" spans="1:8">
      <c r="A47" s="62" t="s">
        <v>47</v>
      </c>
      <c r="B47" s="58" t="s">
        <v>159</v>
      </c>
      <c r="C47" s="63" t="s">
        <v>47</v>
      </c>
      <c r="D47" s="55"/>
      <c r="E47" s="24"/>
      <c r="F47" s="24"/>
      <c r="G47" s="24"/>
      <c r="H47" s="24"/>
    </row>
    <row r="48" spans="1:8" ht="13" thickBot="1">
      <c r="A48" s="64" t="s">
        <v>51</v>
      </c>
      <c r="B48" s="65" t="s">
        <v>160</v>
      </c>
      <c r="C48" s="66" t="s">
        <v>51</v>
      </c>
      <c r="D48" s="55"/>
      <c r="E48" s="24"/>
      <c r="F48" s="24"/>
      <c r="G48" s="24"/>
      <c r="H48" s="24"/>
    </row>
    <row r="49" spans="1:8">
      <c r="A49" s="57"/>
      <c r="B49" s="57"/>
      <c r="C49" s="57"/>
      <c r="D49" s="24"/>
      <c r="E49" s="24"/>
      <c r="F49" s="24"/>
      <c r="G49" s="24"/>
      <c r="H49" s="24"/>
    </row>
    <row r="50" spans="1:8" ht="13">
      <c r="A50" s="67" t="s">
        <v>161</v>
      </c>
      <c r="B50" s="24"/>
      <c r="C50" s="24"/>
      <c r="D50" s="24"/>
      <c r="E50" s="24"/>
      <c r="F50" s="24"/>
      <c r="G50" s="24"/>
      <c r="H50" s="24"/>
    </row>
    <row r="51" spans="1:8">
      <c r="A51" s="24" t="s">
        <v>163</v>
      </c>
      <c r="B51" s="24"/>
      <c r="C51" s="24"/>
      <c r="D51" s="24"/>
      <c r="E51" s="24"/>
      <c r="F51" s="24"/>
      <c r="G51" s="24"/>
      <c r="H51" s="24"/>
    </row>
    <row r="52" spans="1:8">
      <c r="A52" s="68" t="s">
        <v>167</v>
      </c>
      <c r="B52" s="24"/>
      <c r="C52" s="24"/>
      <c r="D52" s="24"/>
      <c r="E52" s="24"/>
      <c r="F52" s="24"/>
      <c r="G52" s="24"/>
      <c r="H52" s="24"/>
    </row>
    <row r="53" spans="1:8">
      <c r="A53" s="68" t="s">
        <v>168</v>
      </c>
      <c r="B53" s="24"/>
      <c r="C53" s="24"/>
      <c r="D53" s="24"/>
      <c r="E53" s="24"/>
      <c r="F53" s="24"/>
      <c r="G53" s="24"/>
      <c r="H53" s="24"/>
    </row>
    <row r="54" spans="1:8">
      <c r="A54" s="68" t="s">
        <v>169</v>
      </c>
      <c r="B54" s="24"/>
      <c r="C54" s="24"/>
      <c r="D54" s="24"/>
      <c r="E54" s="24"/>
      <c r="F54" s="24"/>
      <c r="G54" s="24"/>
      <c r="H54" s="24"/>
    </row>
    <row r="55" spans="1:8" ht="18.5" customHeight="1">
      <c r="A55" s="24" t="s">
        <v>164</v>
      </c>
      <c r="B55" s="24"/>
      <c r="C55" s="24"/>
      <c r="D55" s="24"/>
      <c r="E55" s="24"/>
      <c r="F55" s="24"/>
      <c r="G55" s="24"/>
      <c r="H55" s="24"/>
    </row>
    <row r="56" spans="1:8" ht="13">
      <c r="A56" s="67" t="s">
        <v>123</v>
      </c>
      <c r="B56" s="24"/>
      <c r="C56" s="24"/>
      <c r="D56" s="24"/>
      <c r="E56" s="24"/>
      <c r="F56" s="24"/>
      <c r="G56" s="24"/>
      <c r="H56" s="24"/>
    </row>
    <row r="57" spans="1:8">
      <c r="A57" s="68" t="s">
        <v>170</v>
      </c>
      <c r="B57" s="24"/>
      <c r="C57" s="24"/>
      <c r="D57" s="24"/>
      <c r="E57" s="24"/>
      <c r="F57" s="24"/>
      <c r="G57" s="24"/>
      <c r="H57" s="24"/>
    </row>
    <row r="58" spans="1:8">
      <c r="A58" s="68" t="s">
        <v>162</v>
      </c>
      <c r="B58" s="24"/>
      <c r="C58" s="24"/>
      <c r="D58" s="24"/>
      <c r="E58" s="24"/>
      <c r="F58" s="24"/>
      <c r="G58" s="24"/>
      <c r="H58" s="24"/>
    </row>
    <row r="59" spans="1:8">
      <c r="A59" s="68" t="s">
        <v>171</v>
      </c>
      <c r="B59" s="24"/>
      <c r="C59" s="24"/>
      <c r="D59" s="24"/>
      <c r="E59" s="24"/>
      <c r="F59" s="24"/>
      <c r="G59" s="24"/>
      <c r="H59" s="24"/>
    </row>
    <row r="60" spans="1:8" ht="13">
      <c r="A60" s="50" t="s">
        <v>199</v>
      </c>
      <c r="B60" s="50"/>
      <c r="C60" s="50"/>
      <c r="D60" s="50"/>
      <c r="E60" s="50"/>
      <c r="F60" s="50"/>
      <c r="G60" s="50"/>
      <c r="H60" s="50"/>
    </row>
    <row r="61" spans="1:8" ht="82" customHeight="1">
      <c r="A61" s="49" t="s">
        <v>200</v>
      </c>
      <c r="B61" s="49"/>
      <c r="C61" s="49"/>
      <c r="D61" s="49"/>
      <c r="E61" s="49"/>
      <c r="F61" s="49"/>
      <c r="G61" s="49"/>
      <c r="H61" s="49"/>
    </row>
    <row r="62" spans="1:8" ht="69" customHeight="1">
      <c r="A62" s="83" t="s">
        <v>201</v>
      </c>
      <c r="B62" s="83"/>
      <c r="C62" s="83"/>
      <c r="D62" s="83"/>
      <c r="E62" s="83"/>
      <c r="F62" s="83"/>
      <c r="G62" s="83"/>
      <c r="H62" s="83"/>
    </row>
    <row r="63" spans="1:8" s="52" customFormat="1" ht="13" customHeight="1">
      <c r="A63" s="80" t="s">
        <v>197</v>
      </c>
      <c r="B63" s="24"/>
      <c r="C63" s="24"/>
      <c r="D63" s="24"/>
      <c r="E63" s="24"/>
      <c r="F63" s="24"/>
      <c r="G63" s="24"/>
      <c r="H63" s="24"/>
    </row>
    <row r="64" spans="1:8" ht="17" customHeight="1">
      <c r="A64" s="24" t="s">
        <v>111</v>
      </c>
      <c r="B64" s="24"/>
      <c r="C64" s="24"/>
      <c r="D64" s="24"/>
      <c r="E64" s="24"/>
      <c r="F64" s="24"/>
      <c r="G64" s="24"/>
      <c r="H64" s="24"/>
    </row>
    <row r="65" spans="1:8">
      <c r="A65" s="24" t="s">
        <v>112</v>
      </c>
      <c r="B65" s="24"/>
      <c r="C65" s="24"/>
      <c r="D65" s="24"/>
      <c r="E65" s="24"/>
      <c r="F65" s="24"/>
      <c r="G65" s="24"/>
      <c r="H65" s="24"/>
    </row>
    <row r="66" spans="1:8">
      <c r="A66" s="24" t="s">
        <v>113</v>
      </c>
      <c r="B66" s="24"/>
      <c r="C66" s="24"/>
      <c r="D66" s="24"/>
      <c r="E66" s="24"/>
      <c r="F66" s="24"/>
      <c r="G66" s="24"/>
      <c r="H66" s="24"/>
    </row>
    <row r="67" spans="1:8" ht="18" customHeight="1">
      <c r="A67" s="24" t="s">
        <v>172</v>
      </c>
      <c r="B67" s="24"/>
      <c r="C67" s="24"/>
      <c r="D67" s="24"/>
      <c r="E67" s="24"/>
      <c r="F67" s="24"/>
      <c r="G67" s="24"/>
      <c r="H67" s="24"/>
    </row>
    <row r="68" spans="1:8" ht="14.5" customHeight="1">
      <c r="A68" s="24" t="s">
        <v>173</v>
      </c>
      <c r="B68" s="24"/>
      <c r="C68" s="24"/>
      <c r="D68" s="24"/>
      <c r="E68" s="24"/>
      <c r="F68" s="24"/>
      <c r="G68" s="24"/>
      <c r="H68" s="24"/>
    </row>
    <row r="69" spans="1:8">
      <c r="A69" s="24" t="s">
        <v>114</v>
      </c>
      <c r="B69" s="24"/>
      <c r="C69" s="24"/>
      <c r="D69" s="24"/>
      <c r="E69" s="24"/>
      <c r="F69" s="24"/>
      <c r="G69" s="24"/>
      <c r="H69" s="24"/>
    </row>
    <row r="70" spans="1:8">
      <c r="A70" s="24" t="s">
        <v>115</v>
      </c>
      <c r="B70" s="24"/>
      <c r="C70" s="24"/>
      <c r="D70" s="24"/>
      <c r="E70" s="24"/>
      <c r="F70" s="24"/>
      <c r="G70" s="24"/>
      <c r="H70" s="24"/>
    </row>
    <row r="71" spans="1:8">
      <c r="A71" s="24" t="s">
        <v>116</v>
      </c>
      <c r="B71" s="24"/>
      <c r="C71" s="24"/>
      <c r="D71" s="24"/>
      <c r="E71" s="24"/>
      <c r="F71" s="24"/>
      <c r="G71" s="24"/>
      <c r="H71" s="24"/>
    </row>
    <row r="72" spans="1:8">
      <c r="A72" s="24" t="s">
        <v>117</v>
      </c>
      <c r="B72" s="24"/>
      <c r="C72" s="24"/>
      <c r="D72" s="24"/>
      <c r="E72" s="24"/>
      <c r="F72" s="24"/>
      <c r="G72" s="24"/>
      <c r="H72" s="24"/>
    </row>
    <row r="73" spans="1:8">
      <c r="A73" s="24" t="s">
        <v>118</v>
      </c>
      <c r="B73" s="24"/>
      <c r="C73" s="24"/>
      <c r="D73" s="24"/>
      <c r="E73" s="24"/>
      <c r="F73" s="24"/>
      <c r="G73" s="24"/>
      <c r="H73" s="24"/>
    </row>
    <row r="74" spans="1:8">
      <c r="A74" s="24" t="s">
        <v>119</v>
      </c>
      <c r="B74" s="24"/>
      <c r="C74" s="24"/>
      <c r="D74" s="24"/>
      <c r="E74" s="24"/>
      <c r="F74" s="24"/>
      <c r="G74" s="24"/>
      <c r="H74" s="24"/>
    </row>
    <row r="75" spans="1:8" ht="13">
      <c r="A75" s="81" t="s">
        <v>198</v>
      </c>
      <c r="B75" s="78"/>
      <c r="C75" s="78"/>
      <c r="D75" s="78"/>
      <c r="E75" s="78"/>
      <c r="F75" s="78"/>
      <c r="G75" s="78"/>
      <c r="H75" s="78"/>
    </row>
    <row r="76" spans="1:8">
      <c r="A76" s="78" t="s">
        <v>120</v>
      </c>
      <c r="B76" s="78"/>
      <c r="C76" s="78"/>
      <c r="D76" s="78"/>
      <c r="E76" s="78"/>
      <c r="F76" s="78"/>
      <c r="G76" s="78"/>
      <c r="H76" s="78"/>
    </row>
    <row r="77" spans="1:8" ht="16.5" customHeight="1">
      <c r="A77" s="78" t="s">
        <v>165</v>
      </c>
      <c r="B77" s="78"/>
      <c r="C77" s="78"/>
      <c r="D77" s="78"/>
      <c r="E77" s="78"/>
      <c r="F77" s="78"/>
      <c r="G77" s="78"/>
      <c r="H77" s="78"/>
    </row>
    <row r="78" spans="1:8">
      <c r="A78" s="79" t="s">
        <v>174</v>
      </c>
      <c r="B78" s="78"/>
      <c r="C78" s="78"/>
      <c r="D78" s="78"/>
      <c r="E78" s="78"/>
      <c r="F78" s="78"/>
      <c r="G78" s="78"/>
      <c r="H78" s="78"/>
    </row>
    <row r="79" spans="1:8">
      <c r="A79" s="79" t="s">
        <v>175</v>
      </c>
      <c r="B79" s="78"/>
      <c r="C79" s="78"/>
      <c r="D79" s="78"/>
      <c r="E79" s="78"/>
      <c r="F79" s="78"/>
      <c r="G79" s="78"/>
      <c r="H79" s="78"/>
    </row>
    <row r="80" spans="1:8">
      <c r="A80" s="79" t="s">
        <v>176</v>
      </c>
      <c r="B80" s="78"/>
      <c r="C80" s="78"/>
      <c r="D80" s="78"/>
      <c r="E80" s="78"/>
      <c r="F80" s="78"/>
      <c r="G80" s="78"/>
      <c r="H80" s="78"/>
    </row>
    <row r="81" spans="1:8">
      <c r="A81" s="78" t="s">
        <v>121</v>
      </c>
      <c r="B81" s="78"/>
      <c r="C81" s="78"/>
      <c r="D81" s="78"/>
      <c r="E81" s="78"/>
      <c r="F81" s="78"/>
      <c r="G81" s="78"/>
      <c r="H81" s="78"/>
    </row>
    <row r="82" spans="1:8" ht="16.5" customHeight="1">
      <c r="A82" s="78" t="s">
        <v>122</v>
      </c>
      <c r="B82" s="78"/>
      <c r="C82" s="78"/>
      <c r="D82" s="78"/>
      <c r="E82" s="78"/>
      <c r="F82" s="78"/>
      <c r="G82" s="78"/>
      <c r="H82" s="78"/>
    </row>
    <row r="83" spans="1:8">
      <c r="A83" s="78" t="s">
        <v>123</v>
      </c>
      <c r="B83" s="78"/>
      <c r="C83" s="78"/>
      <c r="D83" s="78"/>
      <c r="E83" s="78"/>
      <c r="F83" s="78"/>
      <c r="G83" s="78"/>
      <c r="H83" s="78"/>
    </row>
    <row r="84" spans="1:8">
      <c r="A84" s="78" t="s">
        <v>166</v>
      </c>
      <c r="B84" s="78"/>
      <c r="C84" s="78"/>
      <c r="D84" s="78"/>
      <c r="E84" s="78"/>
      <c r="F84" s="78"/>
      <c r="G84" s="78"/>
      <c r="H84" s="78"/>
    </row>
    <row r="85" spans="1:8" s="53" customFormat="1">
      <c r="A85" s="79" t="s">
        <v>177</v>
      </c>
      <c r="B85" s="78"/>
      <c r="C85" s="78"/>
      <c r="D85" s="78"/>
      <c r="E85" s="78"/>
      <c r="F85" s="78"/>
      <c r="G85" s="78"/>
      <c r="H85" s="78"/>
    </row>
    <row r="86" spans="1:8" s="53" customFormat="1">
      <c r="A86" s="79" t="s">
        <v>178</v>
      </c>
      <c r="B86" s="78"/>
      <c r="C86" s="78"/>
      <c r="D86" s="78"/>
      <c r="E86" s="78"/>
      <c r="F86" s="78"/>
      <c r="G86" s="78"/>
      <c r="H86" s="78"/>
    </row>
    <row r="87" spans="1:8" s="53" customFormat="1">
      <c r="A87" s="79" t="s">
        <v>179</v>
      </c>
      <c r="B87" s="78"/>
      <c r="C87" s="78"/>
      <c r="D87" s="78"/>
      <c r="E87" s="78"/>
      <c r="F87" s="78"/>
      <c r="G87" s="78"/>
      <c r="H87" s="78"/>
    </row>
    <row r="88" spans="1:8" ht="13">
      <c r="A88" s="80" t="s">
        <v>124</v>
      </c>
      <c r="B88" s="24"/>
      <c r="C88" s="24"/>
      <c r="D88" s="24"/>
      <c r="E88" s="24"/>
      <c r="F88" s="24"/>
      <c r="G88" s="24"/>
      <c r="H88" s="24"/>
    </row>
    <row r="89" spans="1:8" ht="13.5" thickBot="1">
      <c r="A89" s="84"/>
      <c r="B89" s="24"/>
      <c r="C89" s="24"/>
      <c r="D89" s="24"/>
      <c r="E89" s="24"/>
      <c r="F89" s="24"/>
      <c r="G89" s="24"/>
      <c r="H89" s="24"/>
    </row>
    <row r="90" spans="1:8">
      <c r="A90" s="85" t="s">
        <v>202</v>
      </c>
      <c r="B90" s="55"/>
      <c r="C90" s="24"/>
      <c r="D90" s="24"/>
      <c r="E90" s="24"/>
      <c r="F90" s="24"/>
      <c r="G90" s="24"/>
      <c r="H90" s="24"/>
    </row>
    <row r="91" spans="1:8">
      <c r="A91" s="86"/>
      <c r="B91" s="55"/>
      <c r="C91" s="24"/>
      <c r="D91" s="24"/>
      <c r="E91" s="24"/>
      <c r="F91" s="24"/>
      <c r="G91" s="24"/>
      <c r="H91" s="24"/>
    </row>
    <row r="92" spans="1:8">
      <c r="A92" s="86" t="s">
        <v>203</v>
      </c>
      <c r="B92" s="55"/>
      <c r="C92" s="24"/>
      <c r="D92" s="24"/>
      <c r="E92" s="24"/>
      <c r="F92" s="24"/>
      <c r="G92" s="24"/>
      <c r="H92" s="24"/>
    </row>
    <row r="93" spans="1:8" ht="13">
      <c r="A93" s="87"/>
      <c r="B93" s="55"/>
      <c r="C93" s="24"/>
      <c r="D93" s="24"/>
      <c r="E93" s="24"/>
      <c r="F93" s="24"/>
      <c r="G93" s="24"/>
      <c r="H93" s="24"/>
    </row>
    <row r="94" spans="1:8">
      <c r="A94" s="86" t="s">
        <v>204</v>
      </c>
      <c r="B94" s="55"/>
      <c r="C94" s="24"/>
      <c r="D94" s="24"/>
      <c r="E94" s="24"/>
      <c r="F94" s="24"/>
      <c r="G94" s="24"/>
      <c r="H94" s="24"/>
    </row>
    <row r="95" spans="1:8">
      <c r="A95" s="86"/>
      <c r="B95" s="55"/>
      <c r="C95" s="24"/>
      <c r="D95" s="24"/>
      <c r="E95" s="24"/>
      <c r="F95" s="24"/>
      <c r="G95" s="24"/>
      <c r="H95" s="24"/>
    </row>
    <row r="96" spans="1:8">
      <c r="A96" s="86" t="s">
        <v>205</v>
      </c>
      <c r="B96" s="55"/>
      <c r="C96" s="24"/>
      <c r="D96" s="24"/>
      <c r="E96" s="24"/>
      <c r="F96" s="24"/>
      <c r="G96" s="24"/>
      <c r="H96" s="24"/>
    </row>
    <row r="97" spans="1:8">
      <c r="A97" s="86"/>
      <c r="B97" s="55"/>
      <c r="C97" s="24"/>
      <c r="D97" s="24"/>
      <c r="E97" s="24"/>
      <c r="F97" s="24"/>
      <c r="G97" s="24"/>
      <c r="H97" s="24"/>
    </row>
    <row r="98" spans="1:8">
      <c r="A98" s="86" t="s">
        <v>181</v>
      </c>
      <c r="B98" s="55"/>
      <c r="C98" s="24"/>
      <c r="D98" s="24"/>
      <c r="E98" s="24"/>
      <c r="F98" s="24"/>
      <c r="G98" s="24"/>
      <c r="H98" s="24"/>
    </row>
    <row r="99" spans="1:8">
      <c r="A99" s="86"/>
      <c r="B99" s="55"/>
      <c r="C99" s="24"/>
      <c r="D99" s="24"/>
      <c r="E99" s="24"/>
      <c r="F99" s="24"/>
      <c r="G99" s="24"/>
      <c r="H99" s="24"/>
    </row>
    <row r="100" spans="1:8">
      <c r="A100" s="86" t="s">
        <v>182</v>
      </c>
      <c r="B100" s="55"/>
      <c r="C100" s="24"/>
      <c r="D100" s="24"/>
      <c r="E100" s="24"/>
      <c r="F100" s="24"/>
      <c r="G100" s="24"/>
      <c r="H100" s="24"/>
    </row>
    <row r="101" spans="1:8">
      <c r="A101" s="86"/>
      <c r="B101" s="55"/>
      <c r="C101" s="24"/>
      <c r="D101" s="24"/>
      <c r="E101" s="24"/>
      <c r="F101" s="24"/>
      <c r="G101" s="24"/>
      <c r="H101" s="24"/>
    </row>
    <row r="102" spans="1:8">
      <c r="A102" s="86" t="s">
        <v>183</v>
      </c>
      <c r="B102" s="55"/>
      <c r="C102" s="24"/>
      <c r="D102" s="24"/>
      <c r="E102" s="24"/>
      <c r="F102" s="24"/>
      <c r="G102" s="24"/>
      <c r="H102" s="24"/>
    </row>
    <row r="103" spans="1:8">
      <c r="A103" s="86"/>
      <c r="B103" s="55"/>
      <c r="C103" s="24"/>
      <c r="D103" s="24"/>
      <c r="E103" s="24"/>
      <c r="F103" s="24"/>
      <c r="G103" s="24"/>
      <c r="H103" s="24"/>
    </row>
    <row r="104" spans="1:8" ht="13" thickBot="1">
      <c r="A104" s="88" t="s">
        <v>184</v>
      </c>
      <c r="B104" s="55"/>
      <c r="C104" s="24"/>
      <c r="D104" s="24"/>
      <c r="E104" s="24"/>
      <c r="F104" s="24"/>
      <c r="G104" s="24"/>
      <c r="H104" s="24"/>
    </row>
    <row r="105" spans="1:8">
      <c r="A105" s="77"/>
      <c r="B105" s="77"/>
      <c r="C105" s="77"/>
      <c r="D105" s="77"/>
      <c r="E105" s="77"/>
      <c r="F105" s="77"/>
      <c r="G105" s="77"/>
      <c r="H105" s="77"/>
    </row>
    <row r="106" spans="1:8" ht="17" customHeight="1">
      <c r="A106" s="50" t="s">
        <v>125</v>
      </c>
      <c r="B106" s="50"/>
      <c r="C106" s="50"/>
      <c r="D106" s="50"/>
      <c r="E106" s="50"/>
      <c r="F106" s="50"/>
      <c r="G106" s="50"/>
      <c r="H106" s="50"/>
    </row>
    <row r="107" spans="1:8">
      <c r="A107" s="49" t="s">
        <v>180</v>
      </c>
      <c r="B107" s="49"/>
      <c r="C107" s="49"/>
      <c r="D107" s="49"/>
      <c r="E107" s="49"/>
      <c r="F107" s="49"/>
      <c r="G107" s="49"/>
      <c r="H107" s="49"/>
    </row>
  </sheetData>
  <mergeCells count="18">
    <mergeCell ref="A106:H106"/>
    <mergeCell ref="A107:H107"/>
    <mergeCell ref="A61:H61"/>
    <mergeCell ref="A62:H62"/>
    <mergeCell ref="A60:H60"/>
    <mergeCell ref="A34:H34"/>
    <mergeCell ref="A35:H35"/>
    <mergeCell ref="A31:H31"/>
    <mergeCell ref="A32:H32"/>
    <mergeCell ref="A33:H33"/>
    <mergeCell ref="A29:H29"/>
    <mergeCell ref="A30:H30"/>
    <mergeCell ref="A28:H28"/>
    <mergeCell ref="A27:H27"/>
    <mergeCell ref="A1:H1"/>
    <mergeCell ref="A24:H24"/>
    <mergeCell ref="A25:H25"/>
    <mergeCell ref="A26:H2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2" r:id="rId3" name="Control 4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209550</xdr:colOff>
                <xdr:row>106</xdr:row>
                <xdr:rowOff>6350</xdr:rowOff>
              </to>
            </anchor>
          </controlPr>
        </control>
      </mc:Choice>
      <mc:Fallback>
        <control shapeId="2052" r:id="rId3" name="Control 4"/>
      </mc:Fallback>
    </mc:AlternateContent>
    <mc:AlternateContent xmlns:mc="http://schemas.openxmlformats.org/markup-compatibility/2006">
      <mc:Choice Requires="x14">
        <control shapeId="2051" r:id="rId5" name="Control 3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209550</xdr:colOff>
                <xdr:row>106</xdr:row>
                <xdr:rowOff>6350</xdr:rowOff>
              </to>
            </anchor>
          </controlPr>
        </control>
      </mc:Choice>
      <mc:Fallback>
        <control shapeId="2051" r:id="rId5" name="Control 3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209550</xdr:colOff>
                <xdr:row>106</xdr:row>
                <xdr:rowOff>6350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49" r:id="rId7" name="Control 1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209550</xdr:colOff>
                <xdr:row>106</xdr:row>
                <xdr:rowOff>6350</xdr:rowOff>
              </to>
            </anchor>
          </controlPr>
        </control>
      </mc:Choice>
      <mc:Fallback>
        <control shapeId="2049" r:id="rId7" name="Control 1"/>
      </mc:Fallback>
    </mc:AlternateContent>
    <mc:AlternateContent xmlns:mc="http://schemas.openxmlformats.org/markup-compatibility/2006">
      <mc:Choice Requires="x14">
        <control shapeId="2057" r:id="rId8" name="Check Box 9">
          <controlPr defaultSize="0" autoFill="0" autoLine="0" autoPict="0">
            <anchor moveWithCells="1">
              <from>
                <xdr:col>0</xdr:col>
                <xdr:colOff>0</xdr:colOff>
                <xdr:row>88</xdr:row>
                <xdr:rowOff>120650</xdr:rowOff>
              </from>
              <to>
                <xdr:col>0</xdr:col>
                <xdr:colOff>679450</xdr:colOff>
                <xdr:row>90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8" r:id="rId9" name="Check Box 10">
          <controlPr defaultSize="0" autoFill="0" autoLine="0" autoPict="0">
            <anchor moveWithCells="1">
              <from>
                <xdr:col>0</xdr:col>
                <xdr:colOff>0</xdr:colOff>
                <xdr:row>90</xdr:row>
                <xdr:rowOff>127000</xdr:rowOff>
              </from>
              <to>
                <xdr:col>0</xdr:col>
                <xdr:colOff>736600</xdr:colOff>
                <xdr:row>92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9" r:id="rId10" name="Check Box 11">
          <controlPr defaultSize="0" autoFill="0" autoLine="0" autoPict="0">
            <anchor moveWithCells="1">
              <from>
                <xdr:col>0</xdr:col>
                <xdr:colOff>0</xdr:colOff>
                <xdr:row>92</xdr:row>
                <xdr:rowOff>127000</xdr:rowOff>
              </from>
              <to>
                <xdr:col>0</xdr:col>
                <xdr:colOff>736600</xdr:colOff>
                <xdr:row>94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0" r:id="rId11" name="Check Box 12">
          <controlPr defaultSize="0" autoFill="0" autoLine="0" autoPict="0">
            <anchor moveWithCells="1">
              <from>
                <xdr:col>0</xdr:col>
                <xdr:colOff>6350</xdr:colOff>
                <xdr:row>94</xdr:row>
                <xdr:rowOff>114300</xdr:rowOff>
              </from>
              <to>
                <xdr:col>0</xdr:col>
                <xdr:colOff>349250</xdr:colOff>
                <xdr:row>96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1" r:id="rId12" name="Check Box 13">
          <controlPr defaultSize="0" autoFill="0" autoLine="0" autoPict="0">
            <anchor moveWithCells="1">
              <from>
                <xdr:col>0</xdr:col>
                <xdr:colOff>0</xdr:colOff>
                <xdr:row>96</xdr:row>
                <xdr:rowOff>127000</xdr:rowOff>
              </from>
              <to>
                <xdr:col>0</xdr:col>
                <xdr:colOff>736600</xdr:colOff>
                <xdr:row>98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2" r:id="rId13" name="Check Box 14">
          <controlPr defaultSize="0" autoFill="0" autoLine="0" autoPict="0">
            <anchor moveWithCells="1">
              <from>
                <xdr:col>0</xdr:col>
                <xdr:colOff>0</xdr:colOff>
                <xdr:row>98</xdr:row>
                <xdr:rowOff>127000</xdr:rowOff>
              </from>
              <to>
                <xdr:col>0</xdr:col>
                <xdr:colOff>736600</xdr:colOff>
                <xdr:row>100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3" r:id="rId14" name="Check Box 15">
          <controlPr defaultSize="0" autoFill="0" autoLine="0" autoPict="0">
            <anchor moveWithCells="1">
              <from>
                <xdr:col>0</xdr:col>
                <xdr:colOff>0</xdr:colOff>
                <xdr:row>100</xdr:row>
                <xdr:rowOff>101600</xdr:rowOff>
              </from>
              <to>
                <xdr:col>0</xdr:col>
                <xdr:colOff>736600</xdr:colOff>
                <xdr:row>101</xdr:row>
                <xdr:rowOff>158750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4" r:id="rId15" name="Check Box 16">
          <controlPr defaultSize="0" autoFill="0" autoLine="0" autoPict="0">
            <anchor moveWithCells="1">
              <from>
                <xdr:col>0</xdr:col>
                <xdr:colOff>0</xdr:colOff>
                <xdr:row>102</xdr:row>
                <xdr:rowOff>139700</xdr:rowOff>
              </from>
              <to>
                <xdr:col>0</xdr:col>
                <xdr:colOff>736600</xdr:colOff>
                <xdr:row>104</xdr:row>
                <xdr:rowOff>38100</xdr:rowOff>
              </to>
            </anchor>
          </controlPr>
        </control>
      </mc:Choice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S85"/>
  <sheetViews>
    <sheetView workbookViewId="0">
      <selection activeCell="A67" sqref="A67:Q67"/>
    </sheetView>
  </sheetViews>
  <sheetFormatPr defaultRowHeight="12.5"/>
  <cols>
    <col min="1" max="16384" width="8.6640625" style="23"/>
  </cols>
  <sheetData>
    <row r="1" spans="1:17" ht="13" customHeight="1">
      <c r="A1" s="105" t="s">
        <v>206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3">
      <c r="A2" s="36" t="s">
        <v>106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>
      <c r="A3" s="100" t="s">
        <v>207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5" customHeight="1">
      <c r="A4" s="106" t="s">
        <v>208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</row>
    <row r="5" spans="1:17" ht="13">
      <c r="A5" s="24" t="s">
        <v>242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ht="13">
      <c r="A6" s="24" t="s">
        <v>243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>
      <c r="A7" s="24" t="s">
        <v>259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4" t="s">
        <v>260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>
      <c r="A9" s="24" t="s">
        <v>261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>
      <c r="A10" s="24" t="s">
        <v>209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ht="13">
      <c r="A11" s="106" t="s">
        <v>210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7"/>
    </row>
    <row r="12" spans="1:17">
      <c r="A12" s="100" t="s">
        <v>211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7" ht="13">
      <c r="A13" s="101" t="s">
        <v>262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</row>
    <row r="14" spans="1:17" ht="13">
      <c r="A14" s="101" t="s">
        <v>263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</row>
    <row r="15" spans="1:17" ht="13">
      <c r="A15" s="101" t="s">
        <v>264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</row>
    <row r="16" spans="1:17">
      <c r="A16" s="100" t="s">
        <v>212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</row>
    <row r="17" spans="1:17" ht="13">
      <c r="A17" s="101" t="s">
        <v>265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</row>
    <row r="18" spans="1:17" ht="13">
      <c r="A18" s="101" t="s">
        <v>266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</row>
    <row r="19" spans="1:17" ht="13">
      <c r="A19" s="100" t="s">
        <v>244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</row>
    <row r="20" spans="1:17" ht="13">
      <c r="A20" s="106" t="s">
        <v>213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</row>
    <row r="21" spans="1:17">
      <c r="A21" s="24" t="s">
        <v>214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 ht="13">
      <c r="A22" s="24" t="s">
        <v>267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 ht="13">
      <c r="A23" s="24" t="s">
        <v>268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>
      <c r="A24" s="24" t="s">
        <v>215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 ht="13">
      <c r="A25" s="106" t="s">
        <v>216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</row>
    <row r="26" spans="1:17" ht="13">
      <c r="A26" s="100" t="s">
        <v>245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</row>
    <row r="27" spans="1:17" ht="13">
      <c r="A27" s="111" t="s">
        <v>217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</row>
    <row r="28" spans="1:17">
      <c r="A28" s="100" t="s">
        <v>123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</row>
    <row r="29" spans="1:17">
      <c r="A29" s="100" t="s">
        <v>218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</row>
    <row r="30" spans="1:17">
      <c r="A30" s="102" t="s">
        <v>248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</row>
    <row r="31" spans="1:17">
      <c r="A31" s="100" t="s">
        <v>219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</row>
    <row r="32" spans="1:17">
      <c r="A32" s="102" t="s">
        <v>249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</row>
    <row r="33" spans="1:19">
      <c r="A33" s="100" t="s">
        <v>220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spans="1:19" ht="15.5" customHeight="1">
      <c r="A34" s="106" t="s">
        <v>221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9"/>
      <c r="S34" s="110"/>
    </row>
    <row r="35" spans="1:19">
      <c r="A35" s="24" t="s">
        <v>222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9">
      <c r="A36" s="24" t="s">
        <v>223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9">
      <c r="A37" s="24" t="s">
        <v>250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1:19">
      <c r="A38" s="24" t="s">
        <v>224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9" ht="13">
      <c r="A39" s="106" t="s">
        <v>225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7"/>
    </row>
    <row r="40" spans="1:19" ht="13">
      <c r="A40" s="100" t="s">
        <v>246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</row>
    <row r="41" spans="1:19" ht="13">
      <c r="A41" s="100" t="s">
        <v>247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</row>
    <row r="42" spans="1:19" ht="13">
      <c r="A42" s="101" t="s">
        <v>251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</row>
    <row r="43" spans="1:19">
      <c r="A43" s="100" t="s">
        <v>226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</row>
    <row r="44" spans="1:19" ht="13">
      <c r="A44" s="106" t="s">
        <v>227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7"/>
    </row>
    <row r="45" spans="1:19">
      <c r="A45" s="24" t="s">
        <v>228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9">
      <c r="A46" s="24" t="s">
        <v>229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9">
      <c r="A47" s="24" t="s">
        <v>230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9">
      <c r="A48" s="24" t="s">
        <v>271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>
      <c r="A49" s="68" t="s">
        <v>269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>
      <c r="A50" s="24" t="s">
        <v>272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>
      <c r="A51" s="68" t="s">
        <v>270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>
      <c r="A52" s="24" t="s">
        <v>231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>
      <c r="A53" s="24" t="s">
        <v>232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ht="13">
      <c r="A54" s="106" t="s">
        <v>233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7"/>
    </row>
    <row r="55" spans="1:17">
      <c r="A55" s="100" t="s">
        <v>234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</row>
    <row r="56" spans="1:17" ht="13">
      <c r="A56" s="103" t="s">
        <v>277</v>
      </c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</row>
    <row r="57" spans="1:17" ht="13">
      <c r="A57" s="103" t="s">
        <v>278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</row>
    <row r="58" spans="1:17">
      <c r="A58" s="100" t="s">
        <v>273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</row>
    <row r="59" spans="1:17" ht="13">
      <c r="A59" s="106" t="s">
        <v>235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7"/>
    </row>
    <row r="60" spans="1:17">
      <c r="A60" s="24" t="s">
        <v>275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7">
      <c r="A61" s="24" t="s">
        <v>274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>
      <c r="A62" s="24" t="s">
        <v>236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 ht="13">
      <c r="A63" s="24" t="s">
        <v>252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>
      <c r="A64" s="112" t="s">
        <v>276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3"/>
    </row>
    <row r="65" spans="1:17" ht="13">
      <c r="A65" s="106" t="s">
        <v>237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7"/>
    </row>
    <row r="66" spans="1:17">
      <c r="A66" s="100" t="s">
        <v>238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</row>
    <row r="67" spans="1:17">
      <c r="A67" s="103" t="s">
        <v>280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</row>
    <row r="68" spans="1:17">
      <c r="A68" s="103" t="s">
        <v>279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</row>
    <row r="69" spans="1:17">
      <c r="A69" s="103" t="s">
        <v>281</v>
      </c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</row>
    <row r="70" spans="1:17" ht="13">
      <c r="A70" s="106" t="s">
        <v>239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7"/>
    </row>
    <row r="71" spans="1:17">
      <c r="A71" s="24" t="s">
        <v>282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1:17" ht="13">
      <c r="A72" s="106" t="s">
        <v>124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7"/>
    </row>
    <row r="73" spans="1:17">
      <c r="A73" s="103" t="s">
        <v>254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</row>
    <row r="74" spans="1:17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</row>
    <row r="75" spans="1:17">
      <c r="A75" s="103" t="s">
        <v>255</v>
      </c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</row>
    <row r="76" spans="1:17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</row>
    <row r="77" spans="1:17">
      <c r="A77" s="103" t="s">
        <v>256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</row>
    <row r="78" spans="1:17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</row>
    <row r="79" spans="1:17">
      <c r="A79" s="103" t="s">
        <v>258</v>
      </c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</row>
    <row r="80" spans="1:17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</row>
    <row r="81" spans="1:17">
      <c r="A81" s="103" t="s">
        <v>257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</row>
    <row r="82" spans="1:17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</row>
    <row r="83" spans="1:17" ht="13">
      <c r="A83" s="106" t="s">
        <v>253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7"/>
    </row>
    <row r="84" spans="1:17">
      <c r="A84" s="24" t="s">
        <v>240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1:17">
      <c r="A85" s="24" t="s">
        <v>241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</sheetData>
  <mergeCells count="53">
    <mergeCell ref="A70:Q70"/>
    <mergeCell ref="A78:Q78"/>
    <mergeCell ref="A79:Q79"/>
    <mergeCell ref="A80:Q80"/>
    <mergeCell ref="A81:Q81"/>
    <mergeCell ref="A82:Q82"/>
    <mergeCell ref="A83:Q83"/>
    <mergeCell ref="A72:Q72"/>
    <mergeCell ref="A73:Q73"/>
    <mergeCell ref="A74:Q74"/>
    <mergeCell ref="A75:Q75"/>
    <mergeCell ref="A76:Q76"/>
    <mergeCell ref="A77:Q77"/>
    <mergeCell ref="A66:Q66"/>
    <mergeCell ref="A67:Q67"/>
    <mergeCell ref="A68:Q68"/>
    <mergeCell ref="A69:Q69"/>
    <mergeCell ref="A59:Q59"/>
    <mergeCell ref="A65:Q65"/>
    <mergeCell ref="A54:Q54"/>
    <mergeCell ref="A55:Q55"/>
    <mergeCell ref="A56:Q56"/>
    <mergeCell ref="A57:Q57"/>
    <mergeCell ref="A58:Q58"/>
    <mergeCell ref="A42:Q42"/>
    <mergeCell ref="A43:Q43"/>
    <mergeCell ref="A44:Q44"/>
    <mergeCell ref="A39:Q39"/>
    <mergeCell ref="A40:Q40"/>
    <mergeCell ref="A41:Q41"/>
    <mergeCell ref="A30:Q30"/>
    <mergeCell ref="A31:Q31"/>
    <mergeCell ref="A32:Q32"/>
    <mergeCell ref="A33:Q33"/>
    <mergeCell ref="A34:Q34"/>
    <mergeCell ref="A25:Q25"/>
    <mergeCell ref="A26:Q26"/>
    <mergeCell ref="A27:Q27"/>
    <mergeCell ref="A28:Q28"/>
    <mergeCell ref="A29:Q29"/>
    <mergeCell ref="A18:Q18"/>
    <mergeCell ref="A19:Q19"/>
    <mergeCell ref="A20:Q20"/>
    <mergeCell ref="A12:Q12"/>
    <mergeCell ref="A13:Q13"/>
    <mergeCell ref="A14:Q14"/>
    <mergeCell ref="A15:Q15"/>
    <mergeCell ref="A16:Q16"/>
    <mergeCell ref="A17:Q17"/>
    <mergeCell ref="A11:Q11"/>
    <mergeCell ref="A1:Q1"/>
    <mergeCell ref="A3:Q3"/>
    <mergeCell ref="A4:Q4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9221" r:id="rId3" name="Control 5">
          <controlPr defaultSize="0" r:id="rId4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209550</xdr:colOff>
                <xdr:row>81</xdr:row>
                <xdr:rowOff>63500</xdr:rowOff>
              </to>
            </anchor>
          </controlPr>
        </control>
      </mc:Choice>
      <mc:Fallback>
        <control shapeId="9221" r:id="rId3" name="Control 5"/>
      </mc:Fallback>
    </mc:AlternateContent>
    <mc:AlternateContent xmlns:mc="http://schemas.openxmlformats.org/markup-compatibility/2006">
      <mc:Choice Requires="x14">
        <control shapeId="9220" r:id="rId5" name="Control 4">
          <controlPr defaultSize="0" r:id="rId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209550</xdr:colOff>
                <xdr:row>79</xdr:row>
                <xdr:rowOff>63500</xdr:rowOff>
              </to>
            </anchor>
          </controlPr>
        </control>
      </mc:Choice>
      <mc:Fallback>
        <control shapeId="9220" r:id="rId5" name="Control 4"/>
      </mc:Fallback>
    </mc:AlternateContent>
    <mc:AlternateContent xmlns:mc="http://schemas.openxmlformats.org/markup-compatibility/2006">
      <mc:Choice Requires="x14">
        <control shapeId="9219" r:id="rId6" name="Control 3">
          <controlPr defaultSize="0" r:id="rId4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209550</xdr:colOff>
                <xdr:row>77</xdr:row>
                <xdr:rowOff>63500</xdr:rowOff>
              </to>
            </anchor>
          </controlPr>
        </control>
      </mc:Choice>
      <mc:Fallback>
        <control shapeId="9219" r:id="rId6" name="Control 3"/>
      </mc:Fallback>
    </mc:AlternateContent>
    <mc:AlternateContent xmlns:mc="http://schemas.openxmlformats.org/markup-compatibility/2006">
      <mc:Choice Requires="x14">
        <control shapeId="9218" r:id="rId7" name="Control 2">
          <controlPr defaultSize="0" r:id="rId4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209550</xdr:colOff>
                <xdr:row>75</xdr:row>
                <xdr:rowOff>63500</xdr:rowOff>
              </to>
            </anchor>
          </controlPr>
        </control>
      </mc:Choice>
      <mc:Fallback>
        <control shapeId="9218" r:id="rId7" name="Control 2"/>
      </mc:Fallback>
    </mc:AlternateContent>
    <mc:AlternateContent xmlns:mc="http://schemas.openxmlformats.org/markup-compatibility/2006">
      <mc:Choice Requires="x14">
        <control shapeId="9217" r:id="rId8" name="Control 1">
          <controlPr defaultSize="0" r:id="rId4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209550</xdr:colOff>
                <xdr:row>73</xdr:row>
                <xdr:rowOff>63500</xdr:rowOff>
              </to>
            </anchor>
          </controlPr>
        </control>
      </mc:Choice>
      <mc:Fallback>
        <control shapeId="9217" r:id="rId8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2"/>
  <sheetViews>
    <sheetView topLeftCell="D119" workbookViewId="0">
      <selection activeCell="S62" sqref="S62"/>
    </sheetView>
  </sheetViews>
  <sheetFormatPr defaultRowHeight="11.5"/>
  <cols>
    <col min="1" max="3" width="8.6640625" style="15"/>
    <col min="4" max="4" width="10.1640625" style="15" customWidth="1"/>
    <col min="5" max="5" width="4.4140625" style="15" customWidth="1"/>
    <col min="6" max="6" width="8.6640625" style="15"/>
    <col min="7" max="7" width="4.5" style="15" customWidth="1"/>
    <col min="8" max="8" width="8.6640625" style="15"/>
    <col min="9" max="9" width="4.08203125" style="15" customWidth="1"/>
    <col min="10" max="10" width="8.6640625" style="15"/>
    <col min="11" max="11" width="4.83203125" style="15" customWidth="1"/>
    <col min="12" max="12" width="8.6640625" style="15"/>
    <col min="13" max="13" width="4.1640625" style="15" customWidth="1"/>
    <col min="14" max="14" width="8.6640625" style="15"/>
    <col min="15" max="15" width="4.6640625" style="15" customWidth="1"/>
    <col min="16" max="16" width="8.6640625" style="15"/>
    <col min="17" max="17" width="4.4140625" style="15" customWidth="1"/>
    <col min="18" max="16384" width="8.6640625" style="15"/>
  </cols>
  <sheetData>
    <row r="1" spans="1:23" ht="13" thickTop="1" thickBot="1">
      <c r="A1" s="89"/>
      <c r="B1" s="90"/>
      <c r="C1" s="90"/>
      <c r="D1" s="91"/>
      <c r="F1" s="98" t="s">
        <v>100</v>
      </c>
      <c r="G1" s="99"/>
      <c r="H1" s="99"/>
      <c r="S1" s="16" t="s">
        <v>95</v>
      </c>
      <c r="T1" s="16"/>
      <c r="U1" s="16" t="s">
        <v>96</v>
      </c>
      <c r="V1" s="16"/>
      <c r="W1" s="16" t="s">
        <v>97</v>
      </c>
    </row>
    <row r="2" spans="1:23" ht="12.5" thickTop="1">
      <c r="A2" s="92"/>
      <c r="B2" s="93"/>
      <c r="C2" s="93"/>
      <c r="D2" s="94"/>
      <c r="S2" s="18">
        <f>P3*N5*L10*J15*H17*F25</f>
        <v>0</v>
      </c>
      <c r="T2" s="17"/>
      <c r="U2" s="29"/>
      <c r="V2" s="27"/>
      <c r="W2" s="29">
        <v>1</v>
      </c>
    </row>
    <row r="3" spans="1:23" ht="12">
      <c r="A3" s="92"/>
      <c r="B3" s="93"/>
      <c r="C3" s="93"/>
      <c r="D3" s="94"/>
      <c r="S3" s="17"/>
      <c r="T3" s="17"/>
      <c r="U3" s="30"/>
      <c r="V3" s="27"/>
      <c r="W3" s="30"/>
    </row>
    <row r="4" spans="1:23" ht="12">
      <c r="A4" s="92"/>
      <c r="B4" s="93"/>
      <c r="C4" s="93"/>
      <c r="D4" s="94"/>
      <c r="S4" s="17"/>
      <c r="T4" s="17"/>
      <c r="U4" s="30"/>
      <c r="V4" s="27"/>
      <c r="W4" s="30"/>
    </row>
    <row r="5" spans="1:23" ht="12">
      <c r="A5" s="92"/>
      <c r="B5" s="93"/>
      <c r="C5" s="93"/>
      <c r="D5" s="94"/>
      <c r="S5" s="18">
        <f>P7*N5*L10*J15*H17*F25</f>
        <v>0</v>
      </c>
      <c r="T5" s="17"/>
      <c r="U5" s="29"/>
      <c r="V5" s="27"/>
      <c r="W5" s="29">
        <v>0</v>
      </c>
    </row>
    <row r="6" spans="1:23">
      <c r="A6" s="92"/>
      <c r="B6" s="93"/>
      <c r="C6" s="93"/>
      <c r="D6" s="94"/>
      <c r="U6" s="31"/>
      <c r="V6" s="28"/>
      <c r="W6" s="31"/>
    </row>
    <row r="7" spans="1:23">
      <c r="A7" s="92"/>
      <c r="B7" s="93"/>
      <c r="C7" s="93"/>
      <c r="D7" s="94"/>
      <c r="U7" s="31"/>
      <c r="V7" s="28"/>
      <c r="W7" s="31"/>
    </row>
    <row r="8" spans="1:23">
      <c r="A8" s="92"/>
      <c r="B8" s="93"/>
      <c r="C8" s="93"/>
      <c r="D8" s="94"/>
      <c r="S8" s="18">
        <f>P9*N12*L10*J15*H17*F25</f>
        <v>0</v>
      </c>
      <c r="U8" s="29"/>
      <c r="V8" s="28"/>
      <c r="W8" s="29">
        <v>1</v>
      </c>
    </row>
    <row r="9" spans="1:23">
      <c r="A9" s="92"/>
      <c r="B9" s="93"/>
      <c r="C9" s="93"/>
      <c r="D9" s="94"/>
      <c r="U9" s="31"/>
      <c r="V9" s="28"/>
      <c r="W9" s="31"/>
    </row>
    <row r="10" spans="1:23">
      <c r="A10" s="92"/>
      <c r="B10" s="93"/>
      <c r="C10" s="93"/>
      <c r="D10" s="94"/>
      <c r="U10" s="31"/>
      <c r="V10" s="28"/>
      <c r="W10" s="31"/>
    </row>
    <row r="11" spans="1:23">
      <c r="A11" s="92"/>
      <c r="B11" s="93"/>
      <c r="C11" s="93"/>
      <c r="D11" s="94"/>
      <c r="U11" s="31"/>
      <c r="V11" s="28"/>
      <c r="W11" s="31"/>
    </row>
    <row r="12" spans="1:23" ht="12" thickBot="1">
      <c r="A12" s="95"/>
      <c r="B12" s="96"/>
      <c r="C12" s="96"/>
      <c r="D12" s="97"/>
      <c r="S12" s="18">
        <f>P14*N12*L10*J15*H17*F25</f>
        <v>0</v>
      </c>
      <c r="U12" s="29"/>
      <c r="V12" s="28"/>
      <c r="W12" s="29">
        <v>0</v>
      </c>
    </row>
    <row r="13" spans="1:23">
      <c r="U13" s="31"/>
      <c r="V13" s="28"/>
      <c r="W13" s="31"/>
    </row>
    <row r="14" spans="1:23">
      <c r="U14" s="31"/>
      <c r="V14" s="28"/>
      <c r="W14" s="31"/>
    </row>
    <row r="15" spans="1:23">
      <c r="S15" s="18">
        <f>P16*L17*J15*H17*F25</f>
        <v>0</v>
      </c>
      <c r="U15" s="32"/>
      <c r="V15" s="28"/>
      <c r="W15" s="32">
        <v>1</v>
      </c>
    </row>
    <row r="16" spans="1:23">
      <c r="U16" s="31"/>
      <c r="V16" s="28"/>
      <c r="W16" s="31"/>
    </row>
    <row r="17" spans="4:23">
      <c r="U17" s="31"/>
      <c r="V17" s="28"/>
      <c r="W17" s="31"/>
    </row>
    <row r="18" spans="4:23">
      <c r="S18" s="18">
        <f>P19*L17*J15*H17*F25</f>
        <v>0</v>
      </c>
      <c r="U18" s="29"/>
      <c r="V18" s="28"/>
      <c r="W18" s="29">
        <v>0</v>
      </c>
    </row>
    <row r="19" spans="4:23">
      <c r="U19" s="31"/>
      <c r="V19" s="28"/>
      <c r="W19" s="31"/>
    </row>
    <row r="20" spans="4:23">
      <c r="S20" s="18">
        <f>P21*J23*H17*F25</f>
        <v>0</v>
      </c>
      <c r="U20" s="29"/>
      <c r="V20" s="28"/>
      <c r="W20" s="29">
        <v>1</v>
      </c>
    </row>
    <row r="21" spans="4:23">
      <c r="U21" s="31"/>
      <c r="V21" s="28"/>
      <c r="W21" s="31"/>
    </row>
    <row r="22" spans="4:23">
      <c r="U22" s="31"/>
      <c r="V22" s="28"/>
      <c r="W22" s="31"/>
    </row>
    <row r="23" spans="4:23">
      <c r="F23" s="15" t="s">
        <v>101</v>
      </c>
      <c r="U23" s="31"/>
      <c r="V23" s="28"/>
      <c r="W23" s="31"/>
    </row>
    <row r="24" spans="4:23">
      <c r="S24" s="18">
        <f>P25*J23*H17*F25</f>
        <v>0</v>
      </c>
      <c r="U24" s="32"/>
      <c r="V24" s="28"/>
      <c r="W24" s="32">
        <v>0</v>
      </c>
    </row>
    <row r="25" spans="4:23">
      <c r="F25" s="25">
        <f>p_prev</f>
        <v>0.109</v>
      </c>
      <c r="U25" s="31"/>
      <c r="V25" s="28"/>
      <c r="W25" s="31"/>
    </row>
    <row r="26" spans="4:23">
      <c r="U26" s="31"/>
      <c r="V26" s="28"/>
      <c r="W26" s="31"/>
    </row>
    <row r="27" spans="4:23">
      <c r="S27" s="18">
        <f>P28*H30*F25</f>
        <v>0</v>
      </c>
      <c r="U27" s="32"/>
      <c r="V27" s="28"/>
      <c r="W27" s="32">
        <v>1</v>
      </c>
    </row>
    <row r="28" spans="4:23" ht="12" thickBot="1">
      <c r="U28" s="31"/>
      <c r="V28" s="28"/>
      <c r="W28" s="31"/>
    </row>
    <row r="29" spans="4:23" ht="13" thickTop="1" thickBot="1">
      <c r="D29" s="16" t="s">
        <v>104</v>
      </c>
      <c r="U29" s="31"/>
      <c r="V29" s="28"/>
      <c r="W29" s="31"/>
    </row>
    <row r="30" spans="4:23" ht="12" thickTop="1">
      <c r="U30" s="31"/>
      <c r="V30" s="28"/>
      <c r="W30" s="31"/>
    </row>
    <row r="31" spans="4:23">
      <c r="S31" s="18">
        <f>P31*H30*F25</f>
        <v>0</v>
      </c>
      <c r="U31" s="32"/>
      <c r="V31" s="28"/>
      <c r="W31" s="32">
        <v>0</v>
      </c>
    </row>
    <row r="32" spans="4:23">
      <c r="U32" s="31"/>
      <c r="W32" s="31"/>
    </row>
    <row r="33" spans="19:23">
      <c r="S33" s="18">
        <f>P34*L39*J44*H46*F54</f>
        <v>0</v>
      </c>
      <c r="U33" s="18"/>
      <c r="W33" s="32">
        <v>1</v>
      </c>
    </row>
    <row r="34" spans="19:23">
      <c r="U34" s="31"/>
      <c r="W34" s="31"/>
    </row>
    <row r="35" spans="19:23">
      <c r="U35" s="31"/>
      <c r="W35" s="31"/>
    </row>
    <row r="36" spans="19:23">
      <c r="U36" s="31"/>
      <c r="W36" s="31"/>
    </row>
    <row r="37" spans="19:23">
      <c r="U37" s="31"/>
      <c r="W37" s="31"/>
    </row>
    <row r="38" spans="19:23">
      <c r="U38" s="31"/>
      <c r="W38" s="31"/>
    </row>
    <row r="39" spans="19:23">
      <c r="U39" s="31"/>
      <c r="W39" s="31"/>
    </row>
    <row r="40" spans="19:23">
      <c r="S40" s="18">
        <f>P41*L39*J44*H46*F54</f>
        <v>0</v>
      </c>
      <c r="U40" s="18"/>
      <c r="W40" s="29">
        <v>0</v>
      </c>
    </row>
    <row r="41" spans="19:23">
      <c r="U41" s="31"/>
      <c r="W41" s="31"/>
    </row>
    <row r="42" spans="19:23">
      <c r="U42" s="31"/>
      <c r="W42" s="31"/>
    </row>
    <row r="43" spans="19:23">
      <c r="U43" s="31"/>
      <c r="W43" s="31"/>
    </row>
    <row r="44" spans="19:23">
      <c r="S44" s="18">
        <f>P45*L46*J44*H46*F54</f>
        <v>0</v>
      </c>
      <c r="U44" s="18"/>
      <c r="W44" s="29">
        <v>1</v>
      </c>
    </row>
    <row r="45" spans="19:23">
      <c r="U45" s="31"/>
      <c r="W45" s="31"/>
    </row>
    <row r="46" spans="19:23">
      <c r="S46" s="18">
        <f>P48*L46*J44*H46*F54</f>
        <v>0</v>
      </c>
      <c r="U46" s="18"/>
      <c r="W46" s="29">
        <v>0</v>
      </c>
    </row>
    <row r="47" spans="19:23">
      <c r="U47" s="31"/>
      <c r="W47" s="31"/>
    </row>
    <row r="48" spans="19:23">
      <c r="U48" s="31"/>
      <c r="W48" s="31"/>
    </row>
    <row r="49" spans="6:23">
      <c r="S49" s="18">
        <f>P50*J52*H46*F54</f>
        <v>0</v>
      </c>
      <c r="U49" s="18"/>
      <c r="W49" s="29">
        <v>1</v>
      </c>
    </row>
    <row r="50" spans="6:23">
      <c r="U50" s="31"/>
      <c r="W50" s="31"/>
    </row>
    <row r="51" spans="6:23">
      <c r="U51" s="31"/>
      <c r="W51" s="31"/>
    </row>
    <row r="52" spans="6:23">
      <c r="F52" s="15" t="s">
        <v>102</v>
      </c>
      <c r="U52" s="31"/>
      <c r="W52" s="31"/>
    </row>
    <row r="53" spans="6:23">
      <c r="S53" s="18">
        <f>P54*J52*H46*F54</f>
        <v>0</v>
      </c>
      <c r="U53" s="18"/>
      <c r="W53" s="29">
        <v>0</v>
      </c>
    </row>
    <row r="54" spans="6:23">
      <c r="F54" s="25">
        <f>1-p_prev</f>
        <v>0.89100000000000001</v>
      </c>
      <c r="U54" s="31"/>
      <c r="W54" s="31"/>
    </row>
    <row r="55" spans="6:23">
      <c r="U55" s="31"/>
      <c r="W55" s="31"/>
    </row>
    <row r="56" spans="6:23">
      <c r="S56" s="18">
        <f>P57*H59*F54</f>
        <v>0</v>
      </c>
      <c r="U56" s="18"/>
      <c r="W56" s="29">
        <v>1</v>
      </c>
    </row>
    <row r="57" spans="6:23">
      <c r="U57" s="31"/>
      <c r="W57" s="31"/>
    </row>
    <row r="58" spans="6:23">
      <c r="U58" s="31"/>
      <c r="W58" s="31"/>
    </row>
    <row r="59" spans="6:23">
      <c r="S59" s="18">
        <f>P60*H59*F54</f>
        <v>0</v>
      </c>
      <c r="U59" s="18"/>
      <c r="W59" s="29">
        <v>0</v>
      </c>
    </row>
    <row r="60" spans="6:23">
      <c r="U60" s="31"/>
      <c r="W60" s="31"/>
    </row>
    <row r="61" spans="6:23" ht="12" thickBot="1">
      <c r="U61" s="31"/>
      <c r="W61" s="31"/>
    </row>
    <row r="62" spans="6:23" ht="13" thickTop="1" thickBot="1">
      <c r="F62" s="19"/>
      <c r="J62" s="16" t="s">
        <v>103</v>
      </c>
      <c r="K62" s="20"/>
      <c r="L62" s="20"/>
      <c r="M62" s="20"/>
      <c r="N62" s="20"/>
      <c r="O62" s="20"/>
      <c r="P62" s="20"/>
      <c r="Q62" s="20"/>
      <c r="R62" s="21"/>
      <c r="S62" s="22">
        <f>SUM(S2:S61)</f>
        <v>0</v>
      </c>
      <c r="T62" s="21"/>
      <c r="U62" s="33">
        <f>SUMPRODUCT(S15:S31,U15:U31)</f>
        <v>0</v>
      </c>
      <c r="V62" s="21"/>
      <c r="W62" s="34">
        <f>SUMPRODUCT(S2:S61,W2:W61)</f>
        <v>0</v>
      </c>
    </row>
    <row r="63" spans="6:23" ht="12" thickTop="1">
      <c r="U63" s="31"/>
      <c r="W63" s="31"/>
    </row>
    <row r="64" spans="6:23">
      <c r="U64" s="31"/>
      <c r="W64" s="31"/>
    </row>
    <row r="66" spans="4:23">
      <c r="S66" s="18">
        <f>P67*F69</f>
        <v>0</v>
      </c>
      <c r="U66" s="18"/>
      <c r="W66" s="32">
        <v>1</v>
      </c>
    </row>
    <row r="67" spans="4:23">
      <c r="U67" s="31"/>
      <c r="W67" s="31"/>
    </row>
    <row r="68" spans="4:23">
      <c r="U68" s="31"/>
      <c r="W68" s="31"/>
    </row>
    <row r="69" spans="4:23" ht="12" thickBot="1"/>
    <row r="70" spans="4:23" ht="13" thickTop="1" thickBot="1">
      <c r="D70" s="16" t="s">
        <v>74</v>
      </c>
      <c r="S70" s="18">
        <f>P71*F69</f>
        <v>0</v>
      </c>
      <c r="U70" s="18"/>
      <c r="W70" s="32">
        <v>0</v>
      </c>
    </row>
    <row r="71" spans="4:23" ht="12" thickTop="1">
      <c r="U71" s="31"/>
      <c r="W71" s="31"/>
    </row>
    <row r="72" spans="4:23">
      <c r="U72" s="31"/>
      <c r="W72" s="31"/>
    </row>
    <row r="73" spans="4:23">
      <c r="S73" s="18">
        <f>P74*F77</f>
        <v>0</v>
      </c>
      <c r="U73" s="18"/>
      <c r="W73" s="32">
        <v>1</v>
      </c>
    </row>
    <row r="75" spans="4:23">
      <c r="U75" s="31"/>
      <c r="W75" s="31"/>
    </row>
    <row r="76" spans="4:23">
      <c r="U76" s="31"/>
      <c r="W76" s="31"/>
    </row>
    <row r="77" spans="4:23">
      <c r="U77" s="31"/>
      <c r="W77" s="31"/>
    </row>
    <row r="79" spans="4:23">
      <c r="S79" s="18">
        <f>P80*F77</f>
        <v>0</v>
      </c>
      <c r="U79" s="18"/>
      <c r="W79" s="32">
        <v>0</v>
      </c>
    </row>
    <row r="80" spans="4:23">
      <c r="U80" s="31"/>
      <c r="W80" s="31"/>
    </row>
    <row r="81" spans="10:23" ht="12" thickBot="1">
      <c r="U81" s="31"/>
      <c r="W81" s="31"/>
    </row>
    <row r="82" spans="10:23" ht="13" thickTop="1" thickBot="1">
      <c r="J82" s="16" t="s">
        <v>98</v>
      </c>
      <c r="K82" s="20"/>
      <c r="L82" s="20"/>
      <c r="M82" s="20"/>
      <c r="N82" s="20"/>
      <c r="O82" s="20"/>
      <c r="P82" s="20"/>
      <c r="Q82" s="20"/>
      <c r="R82" s="21"/>
      <c r="S82" s="22">
        <f>SUM(S64:S81)</f>
        <v>0</v>
      </c>
      <c r="T82" s="21"/>
      <c r="U82" s="33">
        <f>SUMPRODUCT(S35:S51,U35:U51)</f>
        <v>0</v>
      </c>
      <c r="V82" s="21"/>
      <c r="W82" s="34">
        <f>SUMPRODUCT(S64:S81,W64:W81)</f>
        <v>0</v>
      </c>
    </row>
    <row r="83" spans="10:23" ht="12.5" thickTop="1">
      <c r="S83" s="44"/>
      <c r="T83" s="17"/>
      <c r="U83" s="45"/>
      <c r="V83" s="27"/>
      <c r="W83" s="45"/>
    </row>
    <row r="84" spans="10:23">
      <c r="S84" s="26"/>
      <c r="T84" s="26"/>
      <c r="U84" s="46"/>
      <c r="V84" s="47"/>
      <c r="W84" s="46"/>
    </row>
    <row r="85" spans="10:23">
      <c r="U85" s="31"/>
      <c r="V85" s="28"/>
      <c r="W85" s="31"/>
    </row>
    <row r="86" spans="10:23">
      <c r="S86" s="18">
        <f>P87*J90*H95*F103</f>
        <v>0</v>
      </c>
      <c r="U86" s="29"/>
      <c r="V86" s="28"/>
      <c r="W86" s="29">
        <v>1</v>
      </c>
    </row>
    <row r="87" spans="10:23">
      <c r="U87" s="31"/>
      <c r="V87" s="28"/>
      <c r="W87" s="31"/>
    </row>
    <row r="88" spans="10:23">
      <c r="U88" s="31"/>
      <c r="V88" s="28"/>
      <c r="W88" s="31"/>
    </row>
    <row r="89" spans="10:23">
      <c r="U89" s="31"/>
      <c r="V89" s="28"/>
      <c r="W89" s="31"/>
    </row>
    <row r="90" spans="10:23">
      <c r="S90" s="18">
        <f>P91*J90*H95*F103</f>
        <v>0</v>
      </c>
      <c r="U90" s="29"/>
      <c r="V90" s="28"/>
      <c r="W90" s="29">
        <v>0</v>
      </c>
    </row>
    <row r="91" spans="10:23">
      <c r="U91" s="31"/>
      <c r="V91" s="28"/>
      <c r="W91" s="31"/>
    </row>
    <row r="92" spans="10:23">
      <c r="U92" s="31"/>
      <c r="V92" s="28"/>
      <c r="W92" s="31"/>
    </row>
    <row r="93" spans="10:23">
      <c r="S93" s="18">
        <f>P95*J98*H95*F103</f>
        <v>0</v>
      </c>
      <c r="U93" s="32"/>
      <c r="V93" s="28"/>
      <c r="W93" s="32">
        <v>1</v>
      </c>
    </row>
    <row r="94" spans="10:23">
      <c r="U94" s="31"/>
      <c r="V94" s="28"/>
      <c r="W94" s="31"/>
    </row>
    <row r="95" spans="10:23">
      <c r="U95" s="31"/>
      <c r="V95" s="28"/>
      <c r="W95" s="31"/>
    </row>
    <row r="96" spans="10:23">
      <c r="S96" s="44"/>
      <c r="T96" s="26"/>
      <c r="U96" s="45"/>
      <c r="V96" s="47"/>
      <c r="W96" s="45"/>
    </row>
    <row r="97" spans="4:23">
      <c r="U97" s="31"/>
      <c r="V97" s="28"/>
      <c r="W97" s="31"/>
    </row>
    <row r="98" spans="4:23">
      <c r="S98" s="18">
        <f>P99*J98*H95*F103</f>
        <v>0</v>
      </c>
      <c r="U98" s="29"/>
      <c r="V98" s="28"/>
      <c r="W98" s="29">
        <v>0</v>
      </c>
    </row>
    <row r="99" spans="4:23">
      <c r="U99" s="31"/>
      <c r="V99" s="28"/>
      <c r="W99" s="31"/>
    </row>
    <row r="100" spans="4:23">
      <c r="U100" s="31"/>
      <c r="V100" s="28"/>
      <c r="W100" s="31"/>
    </row>
    <row r="101" spans="4:23">
      <c r="U101" s="31"/>
      <c r="V101" s="28"/>
      <c r="W101" s="31"/>
    </row>
    <row r="102" spans="4:23">
      <c r="S102" s="44"/>
      <c r="T102" s="26"/>
      <c r="U102" s="48"/>
      <c r="V102" s="47"/>
      <c r="W102" s="48"/>
    </row>
    <row r="103" spans="4:23">
      <c r="U103" s="31"/>
      <c r="V103" s="28"/>
      <c r="W103" s="31"/>
    </row>
    <row r="104" spans="4:23">
      <c r="U104" s="31"/>
      <c r="V104" s="28"/>
      <c r="W104" s="31"/>
    </row>
    <row r="105" spans="4:23">
      <c r="S105" s="18">
        <f>P106*H108*F103</f>
        <v>0</v>
      </c>
      <c r="U105" s="32"/>
      <c r="V105" s="28"/>
      <c r="W105" s="32">
        <v>1</v>
      </c>
    </row>
    <row r="106" spans="4:23" ht="12" thickBot="1">
      <c r="U106" s="31"/>
      <c r="V106" s="28"/>
      <c r="W106" s="31"/>
    </row>
    <row r="107" spans="4:23" ht="13" thickTop="1" thickBot="1">
      <c r="D107" s="16" t="s">
        <v>76</v>
      </c>
      <c r="U107" s="31"/>
      <c r="V107" s="28"/>
      <c r="W107" s="31"/>
    </row>
    <row r="108" spans="4:23" ht="12" thickTop="1">
      <c r="U108" s="31"/>
      <c r="V108" s="28"/>
      <c r="W108" s="31"/>
    </row>
    <row r="109" spans="4:23">
      <c r="S109" s="18">
        <f>P109*H108*F103</f>
        <v>0</v>
      </c>
      <c r="U109" s="32"/>
      <c r="V109" s="28"/>
      <c r="W109" s="32">
        <v>0</v>
      </c>
    </row>
    <row r="110" spans="4:23">
      <c r="U110" s="31"/>
      <c r="W110" s="31"/>
    </row>
    <row r="111" spans="4:23">
      <c r="S111" s="18">
        <f>P112*H117*F122</f>
        <v>0</v>
      </c>
      <c r="U111" s="18"/>
      <c r="W111" s="29">
        <v>1</v>
      </c>
    </row>
    <row r="112" spans="4:23">
      <c r="U112" s="31"/>
      <c r="W112" s="31"/>
    </row>
    <row r="113" spans="19:23">
      <c r="U113" s="31"/>
      <c r="W113" s="31"/>
    </row>
    <row r="114" spans="19:23">
      <c r="U114" s="31"/>
      <c r="W114" s="31"/>
    </row>
    <row r="115" spans="19:23">
      <c r="S115" s="44"/>
      <c r="T115" s="26"/>
      <c r="U115" s="44"/>
      <c r="V115" s="26"/>
      <c r="W115" s="45"/>
    </row>
    <row r="116" spans="19:23">
      <c r="U116" s="31"/>
      <c r="W116" s="31"/>
    </row>
    <row r="117" spans="19:23">
      <c r="S117" s="18">
        <f>P119*H117*F122</f>
        <v>0</v>
      </c>
      <c r="U117" s="18"/>
      <c r="W117" s="29">
        <v>0</v>
      </c>
    </row>
    <row r="118" spans="19:23">
      <c r="U118" s="31"/>
      <c r="W118" s="31"/>
    </row>
    <row r="119" spans="19:23">
      <c r="U119" s="31"/>
      <c r="W119" s="31"/>
    </row>
    <row r="120" spans="19:23">
      <c r="S120" s="44"/>
      <c r="T120" s="26"/>
      <c r="U120" s="44"/>
      <c r="V120" s="26"/>
      <c r="W120" s="45"/>
    </row>
    <row r="121" spans="19:23">
      <c r="S121" s="26"/>
      <c r="T121" s="26"/>
      <c r="U121" s="46"/>
      <c r="V121" s="26"/>
      <c r="W121" s="46"/>
    </row>
    <row r="122" spans="19:23">
      <c r="U122" s="31"/>
      <c r="W122" s="31"/>
    </row>
    <row r="123" spans="19:23">
      <c r="U123" s="31"/>
      <c r="W123" s="31"/>
    </row>
    <row r="124" spans="19:23">
      <c r="U124" s="31"/>
      <c r="W124" s="31"/>
    </row>
    <row r="125" spans="19:23">
      <c r="S125" s="18">
        <f>P126*H128*F122</f>
        <v>0</v>
      </c>
      <c r="U125" s="18"/>
      <c r="W125" s="29">
        <v>1</v>
      </c>
    </row>
    <row r="126" spans="19:23">
      <c r="U126" s="31"/>
      <c r="W126" s="31"/>
    </row>
    <row r="127" spans="19:23">
      <c r="U127" s="31"/>
      <c r="W127" s="31"/>
    </row>
    <row r="128" spans="19:23">
      <c r="S128" s="18">
        <f>P129*H128*F122</f>
        <v>0</v>
      </c>
      <c r="U128" s="18"/>
      <c r="W128" s="29">
        <v>0</v>
      </c>
    </row>
    <row r="129" spans="6:23">
      <c r="U129" s="31"/>
      <c r="W129" s="31"/>
    </row>
    <row r="130" spans="6:23" ht="12" thickBot="1">
      <c r="U130" s="31"/>
      <c r="W130" s="31"/>
    </row>
    <row r="131" spans="6:23" ht="13" thickTop="1" thickBot="1">
      <c r="F131" s="19"/>
      <c r="J131" s="16" t="s">
        <v>99</v>
      </c>
      <c r="K131" s="20"/>
      <c r="L131" s="20"/>
      <c r="M131" s="20"/>
      <c r="N131" s="20"/>
      <c r="O131" s="20"/>
      <c r="P131" s="20"/>
      <c r="Q131" s="20"/>
      <c r="R131" s="21"/>
      <c r="S131" s="22">
        <f>SUM(S83:S130)</f>
        <v>0</v>
      </c>
      <c r="T131" s="21"/>
      <c r="U131" s="33">
        <f>SUMPRODUCT(S93:S109,U93:U109)</f>
        <v>0</v>
      </c>
      <c r="V131" s="21"/>
      <c r="W131" s="34">
        <f>SUMPRODUCT(S83:S130,W83:W130)</f>
        <v>0</v>
      </c>
    </row>
    <row r="132" spans="6:23" ht="12" thickTop="1"/>
  </sheetData>
  <mergeCells count="1">
    <mergeCell ref="F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6" sqref="E6"/>
    </sheetView>
  </sheetViews>
  <sheetFormatPr defaultRowHeight="14"/>
  <cols>
    <col min="1" max="1" width="18" customWidth="1"/>
    <col min="2" max="5" width="14" customWidth="1"/>
    <col min="6" max="6" width="32" customWidth="1"/>
  </cols>
  <sheetData>
    <row r="1" spans="1:6" ht="18">
      <c r="A1" s="14" t="s">
        <v>79</v>
      </c>
      <c r="B1" s="14"/>
      <c r="C1" s="14"/>
      <c r="D1" s="14"/>
      <c r="E1" s="14"/>
      <c r="F1" s="14"/>
    </row>
    <row r="2" spans="1:6" ht="28">
      <c r="A2" s="1" t="s">
        <v>71</v>
      </c>
      <c r="B2" s="1" t="s">
        <v>77</v>
      </c>
      <c r="C2" s="1" t="s">
        <v>72</v>
      </c>
      <c r="D2" s="1" t="s">
        <v>80</v>
      </c>
      <c r="E2" s="1" t="s">
        <v>73</v>
      </c>
      <c r="F2" s="1" t="s">
        <v>81</v>
      </c>
    </row>
    <row r="3" spans="1:6">
      <c r="A3" s="2" t="s">
        <v>74</v>
      </c>
      <c r="B3" s="8">
        <f>DT_template_Ex2B_C!S82</f>
        <v>0</v>
      </c>
      <c r="C3" s="8">
        <f>DT_template_Ex2B_C!W82</f>
        <v>0</v>
      </c>
      <c r="D3" s="8">
        <f>C3*Parameters_Ex2A!$E$16</f>
        <v>0</v>
      </c>
      <c r="E3" s="11">
        <f>DT_template_Ex2B_C!U82</f>
        <v>0</v>
      </c>
      <c r="F3" s="3" t="s">
        <v>82</v>
      </c>
    </row>
    <row r="4" spans="1:6">
      <c r="A4" s="4" t="s">
        <v>75</v>
      </c>
      <c r="B4" s="9">
        <f>DT_template_Ex2B_C!S62</f>
        <v>0</v>
      </c>
      <c r="C4" s="9">
        <f>DT_template_Ex2B_C!W62</f>
        <v>0</v>
      </c>
      <c r="D4" s="9">
        <f>C4*Parameters_Ex2A!$E$16</f>
        <v>0</v>
      </c>
      <c r="E4" s="12">
        <f>DT_template_Ex2B_C!U62</f>
        <v>0</v>
      </c>
      <c r="F4" s="5" t="s">
        <v>83</v>
      </c>
    </row>
    <row r="5" spans="1:6">
      <c r="A5" s="6" t="s">
        <v>76</v>
      </c>
      <c r="B5" s="10">
        <f>DT_template_Ex2B_C!S131</f>
        <v>0</v>
      </c>
      <c r="C5" s="10">
        <f>DT_template_Ex2B_C!W131</f>
        <v>0</v>
      </c>
      <c r="D5" s="10">
        <f>C5*Parameters_Ex2A!$E$16</f>
        <v>0</v>
      </c>
      <c r="E5" s="13">
        <f>DT_template_Ex2B_C!U131</f>
        <v>0</v>
      </c>
      <c r="F5" s="7" t="s">
        <v>84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12" sqref="G12"/>
    </sheetView>
  </sheetViews>
  <sheetFormatPr defaultRowHeight="14"/>
  <cols>
    <col min="1" max="1" width="18" customWidth="1"/>
    <col min="2" max="3" width="12" customWidth="1"/>
    <col min="4" max="5" width="14" customWidth="1"/>
    <col min="6" max="6" width="12" customWidth="1"/>
    <col min="7" max="7" width="24" customWidth="1"/>
  </cols>
  <sheetData>
    <row r="1" spans="1:8" ht="18">
      <c r="A1" s="14" t="s">
        <v>85</v>
      </c>
      <c r="B1" s="14"/>
      <c r="C1" s="14"/>
      <c r="D1" s="14"/>
      <c r="E1" s="14"/>
      <c r="F1" s="14"/>
      <c r="G1" s="14"/>
      <c r="H1" s="14"/>
    </row>
    <row r="2" spans="1:8" ht="28">
      <c r="A2" s="1" t="s">
        <v>71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78</v>
      </c>
    </row>
    <row r="3" spans="1:8">
      <c r="A3" s="2" t="s">
        <v>74</v>
      </c>
      <c r="B3" s="11">
        <f>Results_Ex2D!E3</f>
        <v>0</v>
      </c>
      <c r="C3" s="8">
        <f>Results_Ex2D!C3</f>
        <v>0</v>
      </c>
      <c r="D3" s="8" t="s">
        <v>91</v>
      </c>
      <c r="E3" s="8" t="s">
        <v>91</v>
      </c>
      <c r="F3" s="11" t="s">
        <v>91</v>
      </c>
      <c r="G3" s="3" t="s">
        <v>92</v>
      </c>
    </row>
    <row r="4" spans="1:8" ht="28">
      <c r="A4" s="4" t="s">
        <v>75</v>
      </c>
      <c r="B4" s="12">
        <f>Results_Ex2D!E4</f>
        <v>0</v>
      </c>
      <c r="C4" s="9">
        <f>Results_Ex2D!C4</f>
        <v>0</v>
      </c>
      <c r="D4" s="9">
        <f>B4-B3</f>
        <v>0</v>
      </c>
      <c r="E4" s="9">
        <f>C3-C4</f>
        <v>0</v>
      </c>
      <c r="F4" s="12" t="e">
        <f>D4/E4</f>
        <v>#DIV/0!</v>
      </c>
      <c r="G4" s="5" t="s">
        <v>93</v>
      </c>
    </row>
    <row r="5" spans="1:8" ht="28">
      <c r="A5" s="6" t="s">
        <v>76</v>
      </c>
      <c r="B5" s="13">
        <f>Results_Ex2D!E5</f>
        <v>0</v>
      </c>
      <c r="C5" s="10">
        <f>Results_Ex2D!C5</f>
        <v>0</v>
      </c>
      <c r="D5" s="10">
        <f>B5-B4</f>
        <v>0</v>
      </c>
      <c r="E5" s="10">
        <f>C4-C5</f>
        <v>0</v>
      </c>
      <c r="F5" s="13" t="e">
        <f>D5/E5</f>
        <v>#DIV/0!</v>
      </c>
      <c r="G5" s="7" t="s">
        <v>94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20</vt:i4>
      </vt:variant>
    </vt:vector>
  </HeadingPairs>
  <TitlesOfParts>
    <vt:vector size="26" baseType="lpstr">
      <vt:lpstr>Narrative</vt:lpstr>
      <vt:lpstr>Parameters_Ex2A</vt:lpstr>
      <vt:lpstr>DT_instructions_Ex2B</vt:lpstr>
      <vt:lpstr>DT_template_Ex2B_C</vt:lpstr>
      <vt:lpstr>Results_Ex2D</vt:lpstr>
      <vt:lpstr>CEA_Summary_Ex2D</vt:lpstr>
      <vt:lpstr>c_fix</vt:lpstr>
      <vt:lpstr>c_post_coun_n</vt:lpstr>
      <vt:lpstr>c_post_coun_p</vt:lpstr>
      <vt:lpstr>c_precoun</vt:lpstr>
      <vt:lpstr>c_treat</vt:lpstr>
      <vt:lpstr>c_var_screen</vt:lpstr>
      <vt:lpstr>d_inf_untx</vt:lpstr>
      <vt:lpstr>d_tx_e</vt:lpstr>
      <vt:lpstr>d_tx_l</vt:lpstr>
      <vt:lpstr>d_uninf</vt:lpstr>
      <vt:lpstr>life_exp</vt:lpstr>
      <vt:lpstr>n_pop</vt:lpstr>
      <vt:lpstr>p_attend</vt:lpstr>
      <vt:lpstr>p_early</vt:lpstr>
      <vt:lpstr>p_prev</vt:lpstr>
      <vt:lpstr>p_screen_inf</vt:lpstr>
      <vt:lpstr>p_screen_uninf</vt:lpstr>
      <vt:lpstr>p_treat_all</vt:lpstr>
      <vt:lpstr>sens</vt:lpstr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Johnston</dc:creator>
  <cp:lastModifiedBy>Leigh Johnston</cp:lastModifiedBy>
  <dcterms:created xsi:type="dcterms:W3CDTF">2026-04-08T23:25:32Z</dcterms:created>
  <dcterms:modified xsi:type="dcterms:W3CDTF">2026-04-14T11:16:14Z</dcterms:modified>
</cp:coreProperties>
</file>