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iday/Desktop/study_stats/D2P_project/data/"/>
    </mc:Choice>
  </mc:AlternateContent>
  <xr:revisionPtr revIDLastSave="0" documentId="13_ncr:1_{AEBE1F90-18A4-834C-A989-0D959ADDF5EB}" xr6:coauthVersionLast="47" xr6:coauthVersionMax="47" xr10:uidLastSave="{00000000-0000-0000-0000-000000000000}"/>
  <bookViews>
    <workbookView xWindow="0" yWindow="660" windowWidth="24340" windowHeight="12740" activeTab="4" xr2:uid="{00000000-000D-0000-FFFF-FFFF00000000}"/>
  </bookViews>
  <sheets>
    <sheet name="README" sheetId="1" r:id="rId1"/>
    <sheet name="allocation" sheetId="4" r:id="rId2"/>
    <sheet name="personnel" sheetId="2" r:id="rId3"/>
    <sheet name="system" sheetId="3" r:id="rId4"/>
    <sheet name="total_ann_zar" sheetId="5" r:id="rId5"/>
  </sheets>
  <definedNames>
    <definedName name="_xlnm._FilterDatabase" localSheetId="2" hidden="1">personnel!$A$1:$G$8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B1" i="5"/>
  <c r="E3" i="3"/>
  <c r="B2" i="5" s="1"/>
  <c r="B3" i="5" s="1"/>
  <c r="E4" i="3"/>
  <c r="E5" i="3"/>
  <c r="E6" i="3"/>
  <c r="E7" i="3"/>
  <c r="E8" i="3"/>
  <c r="E9" i="3"/>
  <c r="E10" i="3"/>
  <c r="E11" i="3"/>
  <c r="E2" i="3"/>
  <c r="E7" i="2"/>
  <c r="E8" i="2"/>
  <c r="E2" i="2"/>
  <c r="E5" i="2"/>
  <c r="E4" i="2"/>
  <c r="E6" i="2"/>
  <c r="E3" i="2"/>
</calcChain>
</file>

<file path=xl/sharedStrings.xml><?xml version="1.0" encoding="utf-8"?>
<sst xmlns="http://schemas.openxmlformats.org/spreadsheetml/2006/main" count="122" uniqueCount="99">
  <si>
    <t>field</t>
  </si>
  <si>
    <t>description</t>
  </si>
  <si>
    <t>Workbook purpose</t>
  </si>
  <si>
    <t>Editable cost build-up for the surveillance policy brief status-quo costing tabset.</t>
  </si>
  <si>
    <t>Source of truth</t>
  </si>
  <si>
    <t>This .xlsx is the source of truth for personnel/system unit costs. The brief reads it at render time.</t>
  </si>
  <si>
    <t>Editing protocol</t>
  </si>
  <si>
    <t>Open in Excel/LibreOffice; edit any cell in the 'personnel', 'system', or 'allocation' sheets; save; re-render the site.</t>
  </si>
  <si>
    <t>Annual cost formula</t>
  </si>
  <si>
    <t>personnel: annual_cost_zar = annual_cte_zar * fte_pct / 100; system: annual_cost_zar = unit_cost_zar * units_per_yr.</t>
  </si>
  <si>
    <t>Allocation</t>
  </si>
  <si>
    <t>The 'allocation' sheet gives the share of each stream's total volume that is pesticide-poisoning related. The brief applies this to platform-level OPEX rows tagged 'pesticide share' in their rationale.</t>
  </si>
  <si>
    <t>Currency / year</t>
  </si>
  <si>
    <t>2024-2025 ZAR. No inflation adjustment applied.</t>
  </si>
  <si>
    <t>Not in this workbook</t>
  </si>
  <si>
    <t>Marginal / option costs (S1 PIH dashboard, S2 BChE auto-notify, MVP) remain in amua_import_parameters_v3.csv. The brief reads them from there.</t>
  </si>
  <si>
    <t>stream</t>
  </si>
  <si>
    <t>role</t>
  </si>
  <si>
    <t>annual_cte_zar</t>
  </si>
  <si>
    <t>fte_pct</t>
  </si>
  <si>
    <t>annual_cost_zar</t>
  </si>
  <si>
    <t>rationale</t>
  </si>
  <si>
    <t>source</t>
  </si>
  <si>
    <t>NMC</t>
  </si>
  <si>
    <t>NICD epidemiologist (analyst)</t>
  </si>
  <si>
    <t>0.2 FTE reviewing/cleaning the ~12k annual NMC notifications; pesticide is ~1% of intake.</t>
  </si>
  <si>
    <t>DPSA L10-11 scale 2024 + NICD recruitment</t>
  </si>
  <si>
    <t>Provincial communicable-disease coord.</t>
  </si>
  <si>
    <t>Triage of pesticide-flagged notifications across 9 provinces (cumulative 0.05 FTE).</t>
  </si>
  <si>
    <t>DoH provincial OSD scale 2024</t>
  </si>
  <si>
    <t>Clinician notification time</t>
  </si>
  <si>
    <t>~10 min/notification x ~1,013 notifications/yr ~ 169 hr ~ 1.8% of one MO's year.</t>
  </si>
  <si>
    <t>DoH MO Grade 1-3 OSD 2024</t>
  </si>
  <si>
    <t>PIH</t>
  </si>
  <si>
    <t>Poisons information specialist</t>
  </si>
  <si>
    <t>Pesticide is ~15% of PIH call volume (1,158 of ~7,700 clinician-initiated calls).</t>
  </si>
  <si>
    <t>DoH pharmacy OSD 2024; PIH 2023 report</t>
  </si>
  <si>
    <t>PIH clinical toxicologist (oversight)</t>
  </si>
  <si>
    <t>Senior medical review of complex pesticide consults.</t>
  </si>
  <si>
    <t>Stellenbosch FoMHS appointment letters</t>
  </si>
  <si>
    <t>BChE</t>
  </si>
  <si>
    <t>Cross</t>
  </si>
  <si>
    <t>NICD data engineer (notification feeds)</t>
  </si>
  <si>
    <t>Maintains NHLS-&gt;NMC IT feed (now operational) and BChE auto-notify rules.</t>
  </si>
  <si>
    <t>SITA / state IT contracting 2024</t>
  </si>
  <si>
    <t>NICD biostatistician (signal detection)</t>
  </si>
  <si>
    <t>Spatial-temporal monitoring of pesticide signals across streams.</t>
  </si>
  <si>
    <t>DPSA L11-12 scale 2024</t>
  </si>
  <si>
    <t>item</t>
  </si>
  <si>
    <t>unit_cost_zar</t>
  </si>
  <si>
    <t>units_per_yr</t>
  </si>
  <si>
    <t>NMC platform hosting + maintenance</t>
  </si>
  <si>
    <t>Annual platform OPEX (NICD ICT budget line, pesticide share ~1%).</t>
  </si>
  <si>
    <t>NICD ICT budget 2024</t>
  </si>
  <si>
    <t>Outbound SMS to EHPs (notification alerts)</t>
  </si>
  <si>
    <t>Clickatell / BulkSMS ZA 2024</t>
  </si>
  <si>
    <t>Dashboard hosting (Power BI Premium share)</t>
  </si>
  <si>
    <t>Pesticide pages on national NMC dashboard (estimate).</t>
  </si>
  <si>
    <t>Microsoft ZA enterprise agreement 2024</t>
  </si>
  <si>
    <t>AfriTox database licence (annual)</t>
  </si>
  <si>
    <t>Poison agent reference database; pesticide is ~15% of queries.</t>
  </si>
  <si>
    <t>PIH AfriTox renewal invoice</t>
  </si>
  <si>
    <t>Telephony (toll-free 0861-555-777)</t>
  </si>
  <si>
    <t>Toll-free line annual cost (pesticide share ~15%).</t>
  </si>
  <si>
    <t>Telkom toll-free annual 2024</t>
  </si>
  <si>
    <t>Dashboard hosting (Tygerberg cloud VM)</t>
  </si>
  <si>
    <t>AWS af-south-1 small VM + storage + backup.</t>
  </si>
  <si>
    <t>AWS af-south-1 pricing 2024</t>
  </si>
  <si>
    <t>Butyrylcholinesterase reagent</t>
  </si>
  <si>
    <t>Per-assay reagent (NHLS State Tender RT-262 unit price).</t>
  </si>
  <si>
    <t>NHLS State Tender RT-262 (2023)</t>
  </si>
  <si>
    <t>LIS rule engine middleware (HL7 router)</t>
  </si>
  <si>
    <t>Mirth Connect hosting + maintenance.</t>
  </si>
  <si>
    <t>NHLS LIS team estimate</t>
  </si>
  <si>
    <t>Sample courier / cold chain</t>
  </si>
  <si>
    <t>Per-specimen transport across NHLS network.</t>
  </si>
  <si>
    <t>NHLS logistics tariff 2024</t>
  </si>
  <si>
    <t>Data warehouse / ETL (NICD)</t>
  </si>
  <si>
    <t>Snowflake / Azure Synapse share for cross-stream linkage.</t>
  </si>
  <si>
    <t>NICD data platform budget 2024</t>
  </si>
  <si>
    <t>basis</t>
  </si>
  <si>
    <t>pesticide_count_yr</t>
  </si>
  <si>
    <t>total_count_yr</t>
  </si>
  <si>
    <t>allocation_pct</t>
  </si>
  <si>
    <t>Notifications: pesticide / all notifiable</t>
  </si>
  <si>
    <t>~100 pesticide notifications/month vs ~10,000/month all notifiable conditions.</t>
  </si>
  <si>
    <t>NICD NMC Annual Report 2023</t>
  </si>
  <si>
    <t>Calls: pesticide / clinician-initiated total</t>
  </si>
  <si>
    <t>Pesticide is ~15% of PIH clinician-initiated call volume.</t>
  </si>
  <si>
    <t>PIH Annual Report 2023</t>
  </si>
  <si>
    <t>BChE tests: pesticide-suspected / all BChE</t>
  </si>
  <si>
    <t>BChE testing is essentially pesticide-specific; allocation ~100%.</t>
  </si>
  <si>
    <t>NHLS LIS 2023</t>
  </si>
  <si>
    <t>~ poisoning case *10 SMSs  = 1000/year</t>
  </si>
  <si>
    <t>personell</t>
  </si>
  <si>
    <t>system</t>
  </si>
  <si>
    <t>Total</t>
  </si>
  <si>
    <t>Notes</t>
  </si>
  <si>
    <t xml:space="preserve">increases number of SMSs to be sent out when increase in coordination.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</si>
</sst>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3" fontId="2" fillId="0" borderId="0" xfId="0" applyNumberFormat="1" applyFont="1"/>
    <xf numFmtId="2" fontId="1" fillId="2" borderId="1" xfId="0" applyNumberFormat="1" applyFont="1" applyFill="1" applyBorder="1"/>
    <xf numFmtId="2" fontId="2" fillId="0" borderId="0" xfId="0" applyNumberFormat="1" applyFont="1"/>
    <xf numFmtId="2" fontId="0" fillId="0" borderId="0" xfId="0" applyNumberFormat="1"/>
    <xf numFmtId="3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RowHeight="15" x14ac:dyDescent="0.2"/>
  <cols>
    <col min="1" max="1" width="22.6640625" customWidth="1"/>
    <col min="2" max="2" width="95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C2" sqref="C2"/>
    </sheetView>
  </sheetViews>
  <sheetFormatPr baseColWidth="10" defaultRowHeight="15" x14ac:dyDescent="0.2"/>
  <cols>
    <col min="1" max="1" width="10.6640625" customWidth="1"/>
    <col min="2" max="2" width="48.6640625" customWidth="1"/>
    <col min="3" max="3" width="20.6640625" customWidth="1"/>
    <col min="4" max="4" width="18.6640625" customWidth="1"/>
    <col min="5" max="5" width="16.6640625" customWidth="1"/>
    <col min="6" max="6" width="70.6640625" customWidth="1"/>
    <col min="7" max="7" width="35.6640625" customWidth="1"/>
  </cols>
  <sheetData>
    <row r="1" spans="1:7" x14ac:dyDescent="0.2">
      <c r="A1" s="1" t="s">
        <v>16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21</v>
      </c>
      <c r="G1" s="1" t="s">
        <v>22</v>
      </c>
    </row>
    <row r="2" spans="1:7" x14ac:dyDescent="0.2">
      <c r="A2" t="s">
        <v>23</v>
      </c>
      <c r="B2" t="s">
        <v>84</v>
      </c>
      <c r="C2">
        <v>1013</v>
      </c>
      <c r="D2">
        <v>120000</v>
      </c>
      <c r="E2">
        <v>0.84</v>
      </c>
      <c r="F2" t="s">
        <v>85</v>
      </c>
      <c r="G2" t="s">
        <v>86</v>
      </c>
    </row>
    <row r="3" spans="1:7" x14ac:dyDescent="0.2">
      <c r="A3" t="s">
        <v>33</v>
      </c>
      <c r="B3" t="s">
        <v>87</v>
      </c>
      <c r="C3">
        <v>17000</v>
      </c>
      <c r="D3">
        <v>12000</v>
      </c>
      <c r="E3">
        <v>15.04</v>
      </c>
      <c r="F3" t="s">
        <v>88</v>
      </c>
      <c r="G3" t="s">
        <v>89</v>
      </c>
    </row>
    <row r="4" spans="1:7" x14ac:dyDescent="0.2">
      <c r="A4" t="s">
        <v>40</v>
      </c>
      <c r="B4" t="s">
        <v>90</v>
      </c>
      <c r="C4">
        <v>10626</v>
      </c>
      <c r="D4">
        <v>10626</v>
      </c>
      <c r="E4">
        <v>100</v>
      </c>
      <c r="F4" t="s">
        <v>91</v>
      </c>
      <c r="G4" t="s">
        <v>92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50" workbookViewId="0">
      <selection activeCell="E2" sqref="E2"/>
    </sheetView>
  </sheetViews>
  <sheetFormatPr baseColWidth="10" defaultRowHeight="15" x14ac:dyDescent="0.2"/>
  <cols>
    <col min="1" max="1" width="10.6640625" customWidth="1"/>
    <col min="2" max="2" width="38.6640625" customWidth="1"/>
    <col min="3" max="3" width="16.6640625" customWidth="1"/>
    <col min="4" max="4" width="10.6640625" customWidth="1"/>
    <col min="5" max="5" width="24.1640625" customWidth="1"/>
    <col min="6" max="6" width="80.6640625" customWidth="1"/>
    <col min="7" max="7" width="45.6640625" customWidth="1"/>
  </cols>
  <sheetData>
    <row r="1" spans="1:7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33</v>
      </c>
      <c r="B2" t="s">
        <v>34</v>
      </c>
      <c r="C2" s="2">
        <v>780000</v>
      </c>
      <c r="D2">
        <v>80</v>
      </c>
      <c r="E2" s="2">
        <f>C2*D2/100</f>
        <v>624000</v>
      </c>
      <c r="F2" t="s">
        <v>35</v>
      </c>
      <c r="G2" t="s">
        <v>36</v>
      </c>
    </row>
    <row r="3" spans="1:7" x14ac:dyDescent="0.2">
      <c r="A3" t="s">
        <v>23</v>
      </c>
      <c r="B3" t="s">
        <v>24</v>
      </c>
      <c r="C3" s="2">
        <v>650000</v>
      </c>
      <c r="D3">
        <v>20</v>
      </c>
      <c r="E3" s="2">
        <f>C3*D3/100</f>
        <v>130000</v>
      </c>
      <c r="F3" t="s">
        <v>25</v>
      </c>
      <c r="G3" t="s">
        <v>26</v>
      </c>
    </row>
    <row r="4" spans="1:7" x14ac:dyDescent="0.2">
      <c r="A4" t="s">
        <v>41</v>
      </c>
      <c r="B4" t="s">
        <v>42</v>
      </c>
      <c r="C4" s="2">
        <v>750000</v>
      </c>
      <c r="D4">
        <v>10</v>
      </c>
      <c r="E4" s="2">
        <f>C4*D4/100</f>
        <v>75000</v>
      </c>
      <c r="F4" t="s">
        <v>43</v>
      </c>
      <c r="G4" t="s">
        <v>44</v>
      </c>
    </row>
    <row r="5" spans="1:7" x14ac:dyDescent="0.2">
      <c r="A5" t="s">
        <v>33</v>
      </c>
      <c r="B5" t="s">
        <v>37</v>
      </c>
      <c r="C5" s="2">
        <v>1300000</v>
      </c>
      <c r="D5">
        <v>5</v>
      </c>
      <c r="E5" s="2">
        <f>C5*D5/100</f>
        <v>65000</v>
      </c>
      <c r="F5" t="s">
        <v>38</v>
      </c>
      <c r="G5" t="s">
        <v>39</v>
      </c>
    </row>
    <row r="6" spans="1:7" x14ac:dyDescent="0.2">
      <c r="A6" t="s">
        <v>41</v>
      </c>
      <c r="B6" t="s">
        <v>45</v>
      </c>
      <c r="C6" s="2">
        <v>850000</v>
      </c>
      <c r="D6">
        <v>5</v>
      </c>
      <c r="E6" s="2">
        <f>C6*D6/100</f>
        <v>42500</v>
      </c>
      <c r="F6" t="s">
        <v>46</v>
      </c>
      <c r="G6" t="s">
        <v>47</v>
      </c>
    </row>
    <row r="7" spans="1:7" x14ac:dyDescent="0.2">
      <c r="A7" t="s">
        <v>23</v>
      </c>
      <c r="B7" t="s">
        <v>27</v>
      </c>
      <c r="C7" s="2">
        <v>700000</v>
      </c>
      <c r="D7">
        <v>5</v>
      </c>
      <c r="E7" s="2">
        <f>C7*D7/100</f>
        <v>35000</v>
      </c>
      <c r="F7" t="s">
        <v>28</v>
      </c>
      <c r="G7" t="s">
        <v>29</v>
      </c>
    </row>
    <row r="8" spans="1:7" x14ac:dyDescent="0.2">
      <c r="A8" t="s">
        <v>23</v>
      </c>
      <c r="B8" t="s">
        <v>30</v>
      </c>
      <c r="C8" s="2">
        <v>1100000</v>
      </c>
      <c r="D8">
        <v>2</v>
      </c>
      <c r="E8" s="2">
        <f>C8*D8/100</f>
        <v>22000</v>
      </c>
      <c r="F8" t="s">
        <v>31</v>
      </c>
      <c r="G8" t="s">
        <v>32</v>
      </c>
    </row>
    <row r="10" spans="1:7" x14ac:dyDescent="0.2">
      <c r="E10" s="6"/>
    </row>
  </sheetData>
  <autoFilter ref="A1:G8" xr:uid="{00000000-0001-0000-0100-000000000000}">
    <sortState xmlns:xlrd2="http://schemas.microsoft.com/office/spreadsheetml/2017/richdata2" ref="A2:G8">
      <sortCondition descending="1" ref="E1:E8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="144" workbookViewId="0">
      <selection activeCell="D5" sqref="D5"/>
    </sheetView>
  </sheetViews>
  <sheetFormatPr baseColWidth="10" defaultRowHeight="15" x14ac:dyDescent="0.2"/>
  <cols>
    <col min="1" max="1" width="10.6640625" customWidth="1"/>
    <col min="2" max="2" width="42.6640625" customWidth="1"/>
    <col min="3" max="3" width="16.6640625" customWidth="1"/>
    <col min="4" max="4" width="14.6640625" style="5" customWidth="1"/>
    <col min="5" max="5" width="18.6640625" customWidth="1"/>
    <col min="6" max="6" width="70.6640625" customWidth="1"/>
    <col min="7" max="7" width="40.6640625" customWidth="1"/>
  </cols>
  <sheetData>
    <row r="1" spans="1:8" x14ac:dyDescent="0.2">
      <c r="A1" s="1" t="s">
        <v>16</v>
      </c>
      <c r="B1" s="1" t="s">
        <v>48</v>
      </c>
      <c r="C1" s="1" t="s">
        <v>49</v>
      </c>
      <c r="D1" s="3" t="s">
        <v>50</v>
      </c>
      <c r="E1" s="1" t="s">
        <v>20</v>
      </c>
      <c r="F1" s="1" t="s">
        <v>21</v>
      </c>
      <c r="G1" s="1" t="s">
        <v>22</v>
      </c>
      <c r="H1" s="7" t="s">
        <v>97</v>
      </c>
    </row>
    <row r="2" spans="1:8" x14ac:dyDescent="0.2">
      <c r="A2" t="s">
        <v>23</v>
      </c>
      <c r="B2" t="s">
        <v>51</v>
      </c>
      <c r="C2" s="2">
        <v>180000</v>
      </c>
      <c r="D2" s="4">
        <v>1</v>
      </c>
      <c r="E2" s="2">
        <f>C2*D2</f>
        <v>180000</v>
      </c>
      <c r="F2" t="s">
        <v>52</v>
      </c>
      <c r="G2" t="s">
        <v>53</v>
      </c>
    </row>
    <row r="3" spans="1:8" x14ac:dyDescent="0.2">
      <c r="A3" t="s">
        <v>23</v>
      </c>
      <c r="B3" t="s">
        <v>54</v>
      </c>
      <c r="C3" s="2">
        <v>0.15</v>
      </c>
      <c r="D3" s="4">
        <f>1000*20</f>
        <v>20000</v>
      </c>
      <c r="E3" s="2">
        <f t="shared" ref="E3:E11" si="0">C3*D3</f>
        <v>3000</v>
      </c>
      <c r="F3" t="s">
        <v>93</v>
      </c>
      <c r="G3" t="s">
        <v>55</v>
      </c>
      <c r="H3" t="s">
        <v>98</v>
      </c>
    </row>
    <row r="4" spans="1:8" x14ac:dyDescent="0.2">
      <c r="A4" t="s">
        <v>23</v>
      </c>
      <c r="B4" t="s">
        <v>56</v>
      </c>
      <c r="C4" s="2">
        <v>18000</v>
      </c>
      <c r="D4" s="4">
        <v>1</v>
      </c>
      <c r="E4" s="2">
        <f t="shared" si="0"/>
        <v>18000</v>
      </c>
      <c r="F4" t="s">
        <v>57</v>
      </c>
      <c r="G4" t="s">
        <v>58</v>
      </c>
    </row>
    <row r="5" spans="1:8" x14ac:dyDescent="0.2">
      <c r="A5" t="s">
        <v>33</v>
      </c>
      <c r="B5" t="s">
        <v>59</v>
      </c>
      <c r="C5" s="2">
        <v>120000</v>
      </c>
      <c r="D5" s="4">
        <v>1</v>
      </c>
      <c r="E5" s="2">
        <f t="shared" si="0"/>
        <v>120000</v>
      </c>
      <c r="F5" t="s">
        <v>60</v>
      </c>
      <c r="G5" t="s">
        <v>61</v>
      </c>
    </row>
    <row r="6" spans="1:8" x14ac:dyDescent="0.2">
      <c r="A6" t="s">
        <v>33</v>
      </c>
      <c r="B6" t="s">
        <v>62</v>
      </c>
      <c r="C6" s="2">
        <v>85000</v>
      </c>
      <c r="D6" s="4">
        <v>0.85</v>
      </c>
      <c r="E6" s="2">
        <f t="shared" si="0"/>
        <v>72250</v>
      </c>
      <c r="F6" t="s">
        <v>63</v>
      </c>
      <c r="G6" t="s">
        <v>64</v>
      </c>
    </row>
    <row r="7" spans="1:8" x14ac:dyDescent="0.2">
      <c r="A7" t="s">
        <v>33</v>
      </c>
      <c r="B7" t="s">
        <v>65</v>
      </c>
      <c r="C7" s="2">
        <v>42000</v>
      </c>
      <c r="D7" s="4">
        <v>1</v>
      </c>
      <c r="E7" s="2">
        <f t="shared" si="0"/>
        <v>42000</v>
      </c>
      <c r="F7" t="s">
        <v>66</v>
      </c>
      <c r="G7" t="s">
        <v>67</v>
      </c>
    </row>
    <row r="8" spans="1:8" x14ac:dyDescent="0.2">
      <c r="A8" t="s">
        <v>40</v>
      </c>
      <c r="B8" t="s">
        <v>68</v>
      </c>
      <c r="C8" s="2">
        <v>90.22</v>
      </c>
      <c r="D8" s="4">
        <v>10626</v>
      </c>
      <c r="E8" s="2">
        <f t="shared" si="0"/>
        <v>958677.72</v>
      </c>
      <c r="F8" t="s">
        <v>69</v>
      </c>
      <c r="G8" t="s">
        <v>70</v>
      </c>
    </row>
    <row r="9" spans="1:8" x14ac:dyDescent="0.2">
      <c r="A9" t="s">
        <v>40</v>
      </c>
      <c r="B9" t="s">
        <v>71</v>
      </c>
      <c r="C9" s="2">
        <v>180000</v>
      </c>
      <c r="D9" s="4">
        <v>1</v>
      </c>
      <c r="E9" s="2">
        <f t="shared" si="0"/>
        <v>180000</v>
      </c>
      <c r="F9" t="s">
        <v>72</v>
      </c>
      <c r="G9" t="s">
        <v>73</v>
      </c>
    </row>
    <row r="10" spans="1:8" x14ac:dyDescent="0.2">
      <c r="A10" t="s">
        <v>40</v>
      </c>
      <c r="B10" t="s">
        <v>74</v>
      </c>
      <c r="C10" s="2">
        <v>25</v>
      </c>
      <c r="D10" s="4">
        <v>10626</v>
      </c>
      <c r="E10" s="2">
        <f t="shared" si="0"/>
        <v>265650</v>
      </c>
      <c r="F10" t="s">
        <v>75</v>
      </c>
      <c r="G10" t="s">
        <v>76</v>
      </c>
    </row>
    <row r="11" spans="1:8" x14ac:dyDescent="0.2">
      <c r="A11" t="s">
        <v>41</v>
      </c>
      <c r="B11" t="s">
        <v>77</v>
      </c>
      <c r="C11" s="2">
        <v>240000</v>
      </c>
      <c r="D11" s="4">
        <v>1</v>
      </c>
      <c r="E11" s="2">
        <f t="shared" si="0"/>
        <v>240000</v>
      </c>
      <c r="F11" t="s">
        <v>78</v>
      </c>
      <c r="G11" t="s">
        <v>79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FC6A-E2E8-1942-917C-16327C305DC9}">
  <dimension ref="A1:B3"/>
  <sheetViews>
    <sheetView tabSelected="1" workbookViewId="0">
      <selection activeCell="C2" sqref="C2"/>
    </sheetView>
  </sheetViews>
  <sheetFormatPr baseColWidth="10" defaultRowHeight="15" x14ac:dyDescent="0.2"/>
  <sheetData>
    <row r="1" spans="1:2" x14ac:dyDescent="0.2">
      <c r="A1" t="s">
        <v>94</v>
      </c>
      <c r="B1" s="6">
        <f>SUM(personnel!E2:E8)</f>
        <v>993500</v>
      </c>
    </row>
    <row r="2" spans="1:2" x14ac:dyDescent="0.2">
      <c r="A2" t="s">
        <v>95</v>
      </c>
      <c r="B2" s="6">
        <f>SUM(system!E2:E11)</f>
        <v>2079577.72</v>
      </c>
    </row>
    <row r="3" spans="1:2" x14ac:dyDescent="0.2">
      <c r="A3" t="s">
        <v>96</v>
      </c>
      <c r="B3" s="6">
        <f xml:space="preserve"> SUM(B1:B2)</f>
        <v>3073077.7199999997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allocation</vt:lpstr>
      <vt:lpstr>personnel</vt:lpstr>
      <vt:lpstr>system</vt:lpstr>
      <vt:lpstr>total_ann_zar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briday</dc:creator>
  <cp:lastModifiedBy>Brian Brummer</cp:lastModifiedBy>
  <dcterms:created xsi:type="dcterms:W3CDTF">2026-05-13T09:28:48Z</dcterms:created>
  <dcterms:modified xsi:type="dcterms:W3CDTF">2026-05-13T10:52:34Z</dcterms:modified>
</cp:coreProperties>
</file>